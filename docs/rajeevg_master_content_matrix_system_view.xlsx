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Master_Matrix" sheetId="2" state="visible" r:id="rId2"/>
    <sheet name="Title_Decisions" sheetId="3" state="visible" r:id="rId3"/>
    <sheet name="Topic_Graph" sheetId="4" state="visible" r:id="rId4"/>
    <sheet name="Programmatic" sheetId="5" state="visible" r:id="rId5"/>
    <sheet name="Interactive_Assets" sheetId="6" state="visible" r:id="rId6"/>
    <sheet name="Sources" sheetId="7" state="visible" r:id="rId7"/>
  </sheets>
  <definedNames/>
</workbook>
</file>

<file path=xl/styles.xml><?xml version="1.0" encoding="utf-8"?>
<styleSheet xmlns="http://schemas.openxmlformats.org/spreadsheetml/2006/main">
  <numFmts count="0"/>
  <fonts count="8">
    <font>
      <name val="Carlito"/>
      <sz val="11"/>
    </font>
    <font>
      <name val="Carlito"/>
      <b val="1"/>
      <color theme="0"/>
      <sz val="18"/>
    </font>
    <font>
      <name val="Carlito"/>
      <i val="1"/>
      <sz val="10"/>
    </font>
    <font>
      <name val="Carlito"/>
      <b val="1"/>
      <sz val="10"/>
    </font>
    <font>
      <name val="Carlito"/>
      <b val="1"/>
      <color theme="4"/>
      <sz val="16"/>
    </font>
    <font>
      <name val="Carlito"/>
      <b val="1"/>
      <color theme="0"/>
      <sz val="11"/>
    </font>
    <font>
      <name val="Carlito"/>
      <b val="1"/>
      <color theme="0"/>
      <sz val="16"/>
    </font>
    <font>
      <name val="Carlito"/>
      <b val="1"/>
      <color theme="0"/>
      <sz val="15"/>
    </font>
  </fonts>
  <fills count="8">
    <fill>
      <patternFill/>
    </fill>
    <fill>
      <patternFill patternType="gray125"/>
    </fill>
    <fill>
      <patternFill patternType="solid">
        <fgColor theme="4"/>
      </patternFill>
    </fill>
    <fill>
      <patternFill patternType="solid">
        <fgColor theme="4" tint="0.72"/>
      </patternFill>
    </fill>
    <fill>
      <patternFill patternType="solid">
        <fgColor theme="5" tint="0.8"/>
      </patternFill>
    </fill>
    <fill>
      <patternFill patternType="solid">
        <fgColor theme="5"/>
      </patternFill>
    </fill>
    <fill>
      <patternFill patternType="solid">
        <fgColor theme="6" tint="0.82"/>
      </patternFill>
    </fill>
    <fill>
      <patternFill patternType="solid">
        <fgColor theme="4" tint="0.7"/>
      </patternFill>
    </fill>
  </fills>
  <borders count="22">
    <border/>
    <border>
      <left style="thin">
        <color rgb="00BCCCDC"/>
      </left>
      <top style="thin">
        <color rgb="00BCCCDC"/>
      </top>
      <bottom style="thin">
        <color rgb="00BCCCDC"/>
      </bottom>
    </border>
    <border>
      <right style="thin">
        <color rgb="00BCCCDC"/>
      </right>
      <top style="thin">
        <color rgb="00BCCCDC"/>
      </top>
      <bottom style="thin">
        <color rgb="00BCCCDC"/>
      </bottom>
    </border>
    <border>
      <left style="thin">
        <color rgb="00D9E2EC"/>
      </left>
      <top style="thin">
        <color rgb="00D9E2EC"/>
      </top>
    </border>
    <border>
      <right style="thin">
        <color rgb="00D9E2EC"/>
      </right>
      <top style="thin">
        <color rgb="00D9E2EC"/>
      </top>
    </border>
    <border>
      <left style="thin">
        <color rgb="00D9E2EC"/>
      </left>
    </border>
    <border>
      <right style="thin">
        <color rgb="00D9E2EC"/>
      </right>
    </border>
    <border>
      <left style="thin">
        <color rgb="00D9E2EC"/>
      </left>
      <bottom style="thin">
        <color rgb="00D9E2EC"/>
      </bottom>
    </border>
    <border>
      <right style="thin">
        <color rgb="00D9E2EC"/>
      </right>
      <bottom style="thin">
        <color rgb="00D9E2EC"/>
      </bottom>
    </border>
    <border>
      <left style="thin">
        <color rgb="00BCCCDC"/>
      </left>
      <right style="thin">
        <color rgb="00BCCCDC"/>
      </right>
      <top style="thin">
        <color rgb="00BCCCDC"/>
      </top>
      <bottom style="thin">
        <color rgb="00BCCCDC"/>
      </bottom>
    </border>
    <border>
      <left style="thin">
        <color rgb="009AA5B1"/>
      </left>
      <top style="thin">
        <color rgb="009AA5B1"/>
      </top>
      <bottom style="thin">
        <color rgb="009AA5B1"/>
      </bottom>
    </border>
    <border>
      <top style="thin">
        <color rgb="009AA5B1"/>
      </top>
      <bottom style="thin">
        <color rgb="009AA5B1"/>
      </bottom>
    </border>
    <border>
      <right style="thin">
        <color rgb="009AA5B1"/>
      </right>
      <top style="thin">
        <color rgb="009AA5B1"/>
      </top>
      <bottom style="thin">
        <color rgb="009AA5B1"/>
      </bottom>
    </border>
    <border>
      <top style="thin">
        <color rgb="00D9E2EC"/>
      </top>
    </border>
    <border>
      <bottom style="thin">
        <color rgb="00D9E2EC"/>
      </bottom>
    </border>
    <border>
      <top style="thin">
        <color rgb="00BCCCDC"/>
      </top>
    </border>
    <border>
      <left style="thin">
        <color rgb="00BCCCDC"/>
      </left>
    </border>
    <border>
      <right style="thin">
        <color rgb="00BCCCDC"/>
      </right>
      <top style="thin">
        <color rgb="00BCCCDC"/>
      </top>
    </border>
    <border>
      <right style="thin">
        <color rgb="00BCCCDC"/>
      </right>
    </border>
    <border>
      <left style="thin">
        <color rgb="00BCCCDC"/>
      </left>
      <bottom style="thin">
        <color rgb="00BCCCDC"/>
      </bottom>
    </border>
    <border>
      <bottom style="thin">
        <color rgb="00BCCCDC"/>
      </bottom>
    </border>
    <border>
      <right style="thin">
        <color rgb="00BCCCDC"/>
      </right>
      <bottom style="thin">
        <color rgb="00BCCCDC"/>
      </bottom>
    </border>
  </borders>
  <cellStyleXfs count="1">
    <xf numFmtId="0" fontId="0" fillId="0" borderId="0"/>
  </cellStyleXfs>
  <cellXfs count="56">
    <xf numFmtId="0" fontId="0" fillId="0" borderId="0" pivotButton="0" quotePrefix="0" xfId="0"/>
    <xf numFmtId="0" fontId="1" fillId="0" borderId="0" pivotButton="0" quotePrefix="0" xfId="0"/>
    <xf numFmtId="0" fontId="1" fillId="2" borderId="0" pivotButton="0" quotePrefix="0" xfId="0"/>
    <xf numFmtId="0" fontId="0" fillId="2" borderId="0" pivotButton="0" quotePrefix="0" xfId="0"/>
    <xf numFmtId="0" fontId="0" fillId="0" borderId="0" applyAlignment="1" pivotButton="0" quotePrefix="0" xfId="0">
      <alignment wrapText="1"/>
    </xf>
    <xf numFmtId="0" fontId="0" fillId="3" borderId="0" applyAlignment="1" pivotButton="0" quotePrefix="0" xfId="0">
      <alignment wrapText="1"/>
    </xf>
    <xf numFmtId="0" fontId="0" fillId="3" borderId="0" pivotButton="0" quotePrefix="0" xfId="0"/>
    <xf numFmtId="0" fontId="2" fillId="3" borderId="0" applyAlignment="1" pivotButton="0" quotePrefix="0" xfId="0">
      <alignment wrapText="1"/>
    </xf>
    <xf numFmtId="0" fontId="3" fillId="0" borderId="0" pivotButton="0" quotePrefix="0" xfId="0"/>
    <xf numFmtId="0" fontId="3" fillId="0" borderId="0" applyAlignment="1" pivotButton="0" quotePrefix="0" xfId="0">
      <alignment horizontal="center"/>
    </xf>
    <xf numFmtId="0" fontId="4" fillId="0" borderId="0" pivotButton="0" quotePrefix="0" xfId="0"/>
    <xf numFmtId="0" fontId="4" fillId="0" borderId="0" applyAlignment="1" pivotButton="0" quotePrefix="0" xfId="0">
      <alignment horizontal="center"/>
    </xf>
    <xf numFmtId="0" fontId="3" fillId="4" borderId="0" applyAlignment="1" pivotButton="0" quotePrefix="0" xfId="0">
      <alignment horizontal="center"/>
    </xf>
    <xf numFmtId="0" fontId="4" fillId="4" borderId="0" applyAlignment="1" pivotButton="0" quotePrefix="0" xfId="0">
      <alignment horizontal="center"/>
    </xf>
    <xf numFmtId="0" fontId="3" fillId="4" borderId="1" applyAlignment="1" pivotButton="0" quotePrefix="0" xfId="0">
      <alignment horizontal="center"/>
    </xf>
    <xf numFmtId="0" fontId="4" fillId="4" borderId="2" applyAlignment="1" pivotButton="0" quotePrefix="0" xfId="0">
      <alignment horizontal="center"/>
    </xf>
    <xf numFmtId="0" fontId="0" fillId="0" borderId="3" applyAlignment="1" pivotButton="0" quotePrefix="0" xfId="0">
      <alignment wrapText="1"/>
    </xf>
    <xf numFmtId="0" fontId="0" fillId="0" borderId="4"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5" borderId="3" applyAlignment="1" pivotButton="0" quotePrefix="0" xfId="0">
      <alignment wrapText="1"/>
    </xf>
    <xf numFmtId="0" fontId="0" fillId="5" borderId="4" applyAlignment="1" pivotButton="0" quotePrefix="0" xfId="0">
      <alignment wrapText="1"/>
    </xf>
    <xf numFmtId="0" fontId="5" fillId="5" borderId="3" applyAlignment="1" pivotButton="0" quotePrefix="0" xfId="0">
      <alignment wrapText="1"/>
    </xf>
    <xf numFmtId="0" fontId="5" fillId="5" borderId="4" applyAlignment="1" pivotButton="0" quotePrefix="0" xfId="0">
      <alignment wrapText="1"/>
    </xf>
    <xf numFmtId="0" fontId="0" fillId="6" borderId="0" applyAlignment="1" pivotButton="0" quotePrefix="0" xfId="0">
      <alignment wrapText="1"/>
    </xf>
    <xf numFmtId="0" fontId="0" fillId="6" borderId="0" pivotButton="0" quotePrefix="0" xfId="0"/>
    <xf numFmtId="0" fontId="0" fillId="6" borderId="9" applyAlignment="1" pivotButton="0" quotePrefix="0" xfId="0">
      <alignment wrapText="1"/>
    </xf>
    <xf numFmtId="0" fontId="6" fillId="0" borderId="0" pivotButton="0" quotePrefix="0" xfId="0"/>
    <xf numFmtId="0" fontId="6" fillId="2" borderId="0" pivotButton="0" quotePrefix="0" xfId="0"/>
    <xf numFmtId="0" fontId="6" fillId="2" borderId="0" applyAlignment="1" pivotButton="0" quotePrefix="0" xfId="0">
      <alignment wrapText="1"/>
    </xf>
    <xf numFmtId="0" fontId="2" fillId="0" borderId="0" pivotButton="0" quotePrefix="0" xfId="0"/>
    <xf numFmtId="0" fontId="2" fillId="7" borderId="0" pivotButton="0" quotePrefix="0" xfId="0"/>
    <xf numFmtId="0" fontId="0" fillId="7" borderId="0" pivotButton="0" quotePrefix="0" xfId="0"/>
    <xf numFmtId="0" fontId="2" fillId="7" borderId="0" applyAlignment="1" pivotButton="0" quotePrefix="0" xfId="0">
      <alignment wrapText="1"/>
    </xf>
    <xf numFmtId="0" fontId="0" fillId="5" borderId="0" pivotButton="0" quotePrefix="0" xfId="0"/>
    <xf numFmtId="0" fontId="5" fillId="5" borderId="0" pivotButton="0" quotePrefix="0" xfId="0"/>
    <xf numFmtId="0" fontId="5" fillId="5" borderId="0" applyAlignment="1" pivotButton="0" quotePrefix="0" xfId="0">
      <alignment wrapText="1"/>
    </xf>
    <xf numFmtId="0" fontId="5" fillId="5" borderId="0" applyAlignment="1" pivotButton="0" quotePrefix="0" xfId="0">
      <alignment horizontal="center" wrapText="1"/>
    </xf>
    <xf numFmtId="0" fontId="5" fillId="5" borderId="10" applyAlignment="1" pivotButton="0" quotePrefix="0" xfId="0">
      <alignment horizontal="center" wrapText="1"/>
    </xf>
    <xf numFmtId="0" fontId="5" fillId="5" borderId="11" applyAlignment="1" pivotButton="0" quotePrefix="0" xfId="0">
      <alignment horizontal="center" wrapText="1"/>
    </xf>
    <xf numFmtId="0" fontId="5" fillId="5" borderId="12" applyAlignment="1" pivotButton="0" quotePrefix="0" xfId="0">
      <alignment horizontal="center" wrapText="1"/>
    </xf>
    <xf numFmtId="0" fontId="0" fillId="0" borderId="13" applyAlignment="1" pivotButton="0" quotePrefix="0" xfId="0">
      <alignment wrapText="1"/>
    </xf>
    <xf numFmtId="0" fontId="0" fillId="0" borderId="14" applyAlignment="1" pivotButton="0" quotePrefix="0" xfId="0">
      <alignment wrapText="1"/>
    </xf>
    <xf numFmtId="0" fontId="7" fillId="0" borderId="0" pivotButton="0" quotePrefix="0" xfId="0"/>
    <xf numFmtId="0" fontId="7" fillId="2" borderId="0" pivotButton="0" quotePrefix="0" xfId="0"/>
    <xf numFmtId="0" fontId="0" fillId="5" borderId="13" applyAlignment="1" pivotButton="0" quotePrefix="0" xfId="0">
      <alignment wrapText="1"/>
    </xf>
    <xf numFmtId="0" fontId="5" fillId="5" borderId="13" applyAlignment="1" pivotButton="0" quotePrefix="0" xfId="0">
      <alignment wrapText="1"/>
    </xf>
    <xf numFmtId="0" fontId="0" fillId="0" borderId="15" pivotButton="0" quotePrefix="0" xfId="0"/>
    <xf numFmtId="0" fontId="0" fillId="0" borderId="17"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lstStyle/>
          <a:p>
            <a:r>
              <a:rPr/>
              <a:t>Asset mix by class</a:t>
            </a:r>
          </a:p>
        </rich>
      </tx>
      <overlay val="0"/>
    </title>
    <plotArea>
      <layout/>
      <barChart>
        <barDir val="col"/>
        <grouping val="clustered"/>
        <varyColors val="0"/>
        <ser>
          <idx val="0"/>
          <order val="0"/>
          <tx>
            <v>Count</v>
          </tx>
          <spPr>
            <a:ln>
              <a:prstDash val="solid"/>
            </a:ln>
          </spPr>
          <cat>
            <strLit>
              <ptCount val="7"/>
              <pt idx="0">
                <v>Flagship</v>
              </pt>
              <pt idx="1">
                <v>Cluster</v>
              </pt>
              <pt idx="2">
                <v>Interactive</v>
              </pt>
              <pt idx="3">
                <v>Scalable template</v>
              </pt>
              <pt idx="4">
                <v>Proof / case study</v>
              </pt>
              <pt idx="5">
                <v>Proof / project</v>
              </pt>
              <pt idx="6">
                <v>Resource / dataset</v>
              </pt>
            </strLit>
          </cat>
          <val>
            <numLit>
              <ptCount val="7"/>
              <pt idx="0">
                <v>7</v>
              </pt>
              <pt idx="1">
                <v>15</v>
              </pt>
              <pt idx="2">
                <v>5</v>
              </pt>
              <pt idx="3">
                <v>4</v>
              </pt>
              <pt idx="4">
                <v>2</v>
              </pt>
              <pt idx="5">
                <v>1</v>
              </pt>
              <pt idx="6">
                <v>2</v>
              </pt>
            </numLit>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rPr/>
              <a:t>Priority mix</a:t>
            </a:r>
          </a:p>
        </rich>
      </tx>
      <overlay val="0"/>
    </title>
    <plotArea>
      <layout/>
      <barChart>
        <barDir val="col"/>
        <grouping val="clustered"/>
        <varyColors val="0"/>
        <ser>
          <idx val="0"/>
          <order val="0"/>
          <tx>
            <v>Count</v>
          </tx>
          <spPr>
            <a:ln>
              <a:prstDash val="solid"/>
            </a:ln>
          </spPr>
          <cat>
            <strLit>
              <ptCount val="3"/>
              <pt idx="0">
                <v>P1</v>
              </pt>
              <pt idx="1">
                <v>P2</v>
              </pt>
              <pt idx="2">
                <v>P3</v>
              </pt>
            </strLit>
          </cat>
          <val>
            <numLit>
              <ptCount val="3"/>
              <pt idx="0">
                <v>23</v>
              </pt>
              <pt idx="1">
                <v>11</v>
              </pt>
              <pt idx="2">
                <v>2</v>
              </pt>
            </numLit>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4000500" cy="24765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14</row>
      <rowOff>0</rowOff>
    </from>
    <ext cx="3429000" cy="24765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MasterMatrix" displayName="MasterMatrix" ref="A3:Y39" headerRowCount="1">
  <tableColumns count="25">
    <tableColumn id="1" name="Asset_ID"/>
    <tableColumn id="2" name="Asset_Status"/>
    <tableColumn id="3" name="Page_Class"/>
    <tableColumn id="4" name="Pillar"/>
    <tableColumn id="5" name="Cluster"/>
    <tableColumn id="6" name="Working_Title"/>
    <tableColumn id="7" name="Recommended_URL"/>
    <tableColumn id="8" name="Format"/>
    <tableColumn id="9" name="Audience_Segment"/>
    <tableColumn id="10" name="Core_JTBD"/>
    <tableColumn id="11" name="Discovery_Mode"/>
    <tableColumn id="12" name="Intent"/>
    <tableColumn id="13" name="Differentiation_Angle"/>
    <tableColumn id="14" name="Visual_or_Tool_Module"/>
    <tableColumn id="15" name="Structured_Data"/>
    <tableColumn id="16" name="Machine_Readable_Blocks"/>
    <tableColumn id="17" name="Evidence_or_Inputs"/>
    <tableColumn id="18" name="Parent_Hubs"/>
    <tableColumn id="19" name="Child_or_Next_Steps"/>
    <tableColumn id="20" name="Indexation"/>
    <tableColumn id="21" name="Priority"/>
    <tableColumn id="22" name="Effort"/>
    <tableColumn id="23" name="Impact"/>
    <tableColumn id="24" name="Primary_KPI"/>
    <tableColumn id="25" name="Research_Source_URLs"/>
  </tableColumns>
  <tableStyleInfo name="TableStyleMedium2" showRowStripes="1"/>
</table>
</file>

<file path=xl/tables/table2.xml><?xml version="1.0" encoding="utf-8"?>
<table xmlns="http://schemas.openxmlformats.org/spreadsheetml/2006/main" id="2" name="TitleDecisions" displayName="TitleDecisions" ref="A3:G20" headerRowCount="1">
  <tableColumns count="7">
    <tableColumn id="1" name="Raw_title"/>
    <tableColumn id="2" name="Verdict"/>
    <tableColumn id="3" name="Issue"/>
    <tableColumn id="4" name="Recommended_title"/>
    <tableColumn id="5" name="Best_format"/>
    <tableColumn id="6" name="System_role"/>
    <tableColumn id="7" name="Notes"/>
  </tableColumns>
  <tableStyleInfo name="TableStyleMedium2" showRowStripes="1"/>
</table>
</file>

<file path=xl/tables/table3.xml><?xml version="1.0" encoding="utf-8"?>
<table xmlns="http://schemas.openxmlformats.org/spreadsheetml/2006/main" id="3" name="TopicNodes" displayName="TopicNodes" ref="A3:E25" headerRowCount="1">
  <tableColumns count="5">
    <tableColumn id="1" name="Node_ID"/>
    <tableColumn id="2" name="Node_Label"/>
    <tableColumn id="3" name="Node_Type"/>
    <tableColumn id="4" name="Description"/>
    <tableColumn id="5" name="Linked_assets"/>
  </tableColumns>
  <tableStyleInfo name="TableStyleMedium2" showRowStripes="1"/>
</table>
</file>

<file path=xl/tables/table4.xml><?xml version="1.0" encoding="utf-8"?>
<table xmlns="http://schemas.openxmlformats.org/spreadsheetml/2006/main" id="4" name="TopicEdges" displayName="TopicEdges" ref="G3:J31" headerRowCount="1">
  <tableColumns count="4">
    <tableColumn id="1" name="From"/>
    <tableColumn id="2" name="Relationship"/>
    <tableColumn id="3" name="To"/>
    <tableColumn id="4" name="Why_it_matters"/>
  </tableColumns>
  <tableStyleInfo name="TableStyleMedium2" showRowStripes="1"/>
</table>
</file>

<file path=xl/tables/table5.xml><?xml version="1.0" encoding="utf-8"?>
<table xmlns="http://schemas.openxmlformats.org/spreadsheetml/2006/main" id="5" name="ProgrammaticPlaybook" displayName="ProgrammaticPlaybook" ref="A3:I9" headerRowCount="1">
  <tableColumns count="9">
    <tableColumn id="1" name="Page_type"/>
    <tableColumn id="2" name="URL_pattern"/>
    <tableColumn id="3" name="Why_valid"/>
    <tableColumn id="4" name="Required_data_model"/>
    <tableColumn id="5" name="Unique_value_required"/>
    <tableColumn id="6" name="Canonical_and_indexing"/>
    <tableColumn id="7" name="Structured_data"/>
    <tableColumn id="8" name="Primary_risk"/>
    <tableColumn id="9" name="Operational_note"/>
  </tableColumns>
  <tableStyleInfo name="TableStyleMedium2" showRowStripes="1"/>
</table>
</file>

<file path=xl/tables/table6.xml><?xml version="1.0" encoding="utf-8"?>
<table xmlns="http://schemas.openxmlformats.org/spreadsheetml/2006/main" id="6" name="InteractiveAssets" displayName="InteractiveAssets" ref="A3:H11" headerRowCount="1">
  <tableColumns count="8">
    <tableColumn id="1" name="Interactive_asset"/>
    <tableColumn id="2" name="User_problem_solved"/>
    <tableColumn id="3" name="Related_asset_ID"/>
    <tableColumn id="4" name="Page_type"/>
    <tableColumn id="5" name="SEO_or_discovery_benefit"/>
    <tableColumn id="6" name="Conversion_or_retention_benefit"/>
    <tableColumn id="7" name="Underlying_data_or_content_model"/>
    <tableColumn id="8" name="Crawlable_fallback_requirement"/>
  </tableColumns>
  <tableStyleInfo name="TableStyleMedium2" showRowStripes="1"/>
</table>
</file>

<file path=xl/tables/table7.xml><?xml version="1.0" encoding="utf-8"?>
<table xmlns="http://schemas.openxmlformats.org/spreadsheetml/2006/main" id="7" name="SourceLedger" displayName="SourceLedger" ref="A3:E21" headerRowCount="1">
  <tableColumns count="5">
    <tableColumn id="1" name="Source_ID"/>
    <tableColumn id="2" name="URL"/>
    <tableColumn id="3" name="Source_type"/>
    <tableColumn id="4" name="How_used_in_this_workbook"/>
    <tableColumn id="5"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cols>
    <col width="15" customWidth="1" min="1" max="1"/>
    <col width="9.289999961853027" customWidth="1" min="2" max="2"/>
    <col width="15" customWidth="1" min="3" max="3"/>
    <col width="9.289999961853027" customWidth="1" min="4" max="4"/>
    <col width="15" customWidth="1" min="5" max="5"/>
    <col width="9.289999961853027" customWidth="1" min="6" max="6"/>
    <col width="15" customWidth="1" min="7" max="7"/>
    <col width="9.289999961853027" customWidth="1" min="8" max="8"/>
    <col width="15" customWidth="1" min="9" max="9"/>
    <col width="20.70999908447266" customWidth="1" min="10" max="10"/>
    <col width="15" customWidth="1" min="11" max="11"/>
    <col width="9.289999961853027" customWidth="1" min="12" max="12"/>
  </cols>
  <sheetData>
    <row r="1" ht="26" customHeight="1">
      <c r="A1" s="2" t="inlineStr">
        <is>
          <t>Rajeevg.com master content matrix - system view</t>
        </is>
      </c>
    </row>
    <row r="2" ht="34" customHeight="1">
      <c r="A2" s="7" t="inlineStr">
        <is>
          <t>Built 2026-03-28 from the provided content ideas, the current rajeevg.com site, and Google Search Central guidance on people-first content, structured data, canonicalization, and scaled-content risk.</t>
        </is>
      </c>
    </row>
    <row r="3" ht="12" customHeight="1"/>
    <row r="4" ht="22" customHeight="1">
      <c r="A4" s="14" t="inlineStr">
        <is>
          <t>Total assets</t>
        </is>
      </c>
      <c r="B4" s="15">
        <f>COUNTA(Master_Matrix!A2:A200)</f>
        <v/>
      </c>
      <c r="C4" s="14" t="inlineStr">
        <is>
          <t>Flagships</t>
        </is>
      </c>
      <c r="D4" s="15">
        <f>COUNTIF(Master_Matrix!C2:C200,"Flagship")</f>
        <v/>
      </c>
      <c r="E4" s="14" t="inlineStr">
        <is>
          <t>Clusters</t>
        </is>
      </c>
      <c r="F4" s="15">
        <f>COUNTIF(Master_Matrix!C2:C200,"Cluster")</f>
        <v/>
      </c>
      <c r="G4" s="14" t="inlineStr">
        <is>
          <t>Interactive</t>
        </is>
      </c>
      <c r="H4" s="15">
        <f>COUNTIF(Master_Matrix!C2:C200,"Interactive")</f>
        <v/>
      </c>
      <c r="I4" s="14" t="inlineStr">
        <is>
          <t>Scalable templates</t>
        </is>
      </c>
      <c r="J4" s="15">
        <f>COUNTIF(Master_Matrix!C2:C200,"Scalable template")</f>
        <v/>
      </c>
      <c r="K4" s="14" t="inlineStr">
        <is>
          <t>P1 items</t>
        </is>
      </c>
      <c r="L4" s="15">
        <f>COUNTIF(Master_Matrix!U2:U200,"P1")</f>
        <v/>
      </c>
    </row>
    <row r="5" ht="10" customHeight="1"/>
    <row r="6" ht="10" customHeight="1"/>
    <row r="7" ht="28" customHeight="1">
      <c r="A7" s="24" t="inlineStr">
        <is>
          <t>Asset class</t>
        </is>
      </c>
      <c r="B7" s="25" t="inlineStr">
        <is>
          <t>Count</t>
        </is>
      </c>
      <c r="D7" s="24" t="inlineStr">
        <is>
          <t>Priority</t>
        </is>
      </c>
      <c r="E7" s="25" t="inlineStr">
        <is>
          <t>Count</t>
        </is>
      </c>
      <c r="G7" s="24" t="inlineStr">
        <is>
          <t>Pillar / cluster family</t>
        </is>
      </c>
      <c r="H7" s="25" t="inlineStr">
        <is>
          <t>Count</t>
        </is>
      </c>
      <c r="J7" s="28" t="inlineStr">
        <is>
          <t>System design notes
- Flagships set the point of view and topical authority.
- Clusters turn that authority into practical workflows and proof-backed guidance.
- Interactive assets create memorable, hard-to-copy entry points.
- Selective scalable templates expand coverage only where page-level user value is clear.
- Existing rajeevg.com proof pages should be used as trust-transfer assets across the whole system.</t>
        </is>
      </c>
      <c r="K7" s="49" t="n"/>
      <c r="L7" s="50" t="n"/>
    </row>
    <row r="8" ht="28" customHeight="1">
      <c r="A8" s="18" t="inlineStr">
        <is>
          <t>Flagship</t>
        </is>
      </c>
      <c r="B8" s="19" t="n">
        <v>9</v>
      </c>
      <c r="D8" s="18" t="inlineStr">
        <is>
          <t>P1</t>
        </is>
      </c>
      <c r="E8" s="19" t="n">
        <v>34</v>
      </c>
      <c r="G8" s="18" t="inlineStr">
        <is>
          <t>Analytics engineering</t>
        </is>
      </c>
      <c r="H8" s="19" t="n">
        <v>7</v>
      </c>
      <c r="J8" s="51" t="n"/>
      <c r="L8" s="52" t="n"/>
    </row>
    <row r="9" ht="28" customHeight="1">
      <c r="A9" s="18" t="inlineStr">
        <is>
          <t>Cluster</t>
        </is>
      </c>
      <c r="B9" s="19" t="n">
        <v>23</v>
      </c>
      <c r="D9" s="18" t="inlineStr">
        <is>
          <t>P2</t>
        </is>
      </c>
      <c r="E9" s="19" t="n">
        <v>20</v>
      </c>
      <c r="G9" s="18" t="inlineStr">
        <is>
          <t>Agentic engineering</t>
        </is>
      </c>
      <c r="H9" s="19" t="n">
        <v>6</v>
      </c>
      <c r="J9" s="51" t="n"/>
      <c r="L9" s="52" t="n"/>
    </row>
    <row r="10" ht="28" customHeight="1">
      <c r="A10" s="18" t="inlineStr">
        <is>
          <t>Interactive</t>
        </is>
      </c>
      <c r="B10" s="19" t="n">
        <v>7</v>
      </c>
      <c r="D10" s="20" t="inlineStr">
        <is>
          <t>P3</t>
        </is>
      </c>
      <c r="E10" s="21" t="n">
        <v>4</v>
      </c>
      <c r="G10" s="18" t="inlineStr">
        <is>
          <t>Benchmarks</t>
        </is>
      </c>
      <c r="H10" s="19" t="n">
        <v>5</v>
      </c>
      <c r="J10" s="51" t="n"/>
      <c r="L10" s="52" t="n"/>
    </row>
    <row r="11" ht="28" customHeight="1">
      <c r="A11" s="18" t="inlineStr">
        <is>
          <t>Scalable template</t>
        </is>
      </c>
      <c r="B11" s="19" t="n">
        <v>4</v>
      </c>
      <c r="G11" s="18" t="inlineStr">
        <is>
          <t>Reliable AI usage</t>
        </is>
      </c>
      <c r="H11" s="19" t="n">
        <v>5</v>
      </c>
      <c r="J11" s="51" t="n"/>
      <c r="L11" s="52" t="n"/>
    </row>
    <row r="12" ht="28" customHeight="1">
      <c r="A12" s="18" t="inlineStr">
        <is>
          <t>Proof / case study</t>
        </is>
      </c>
      <c r="B12" s="19" t="n">
        <v>7</v>
      </c>
      <c r="G12" s="18" t="inlineStr">
        <is>
          <t>Reusable assets</t>
        </is>
      </c>
      <c r="H12" s="19" t="n">
        <v>5</v>
      </c>
      <c r="J12" s="53" t="n"/>
      <c r="K12" s="54" t="n"/>
      <c r="L12" s="55" t="n"/>
    </row>
    <row r="13" ht="22" customHeight="1">
      <c r="A13" s="18" t="inlineStr">
        <is>
          <t>Proof / project</t>
        </is>
      </c>
      <c r="B13" s="19" t="n">
        <v>1</v>
      </c>
      <c r="G13" s="18" t="inlineStr">
        <is>
          <t>Automation architecture</t>
        </is>
      </c>
      <c r="H13" s="19" t="n">
        <v>4</v>
      </c>
    </row>
    <row r="14" ht="22" customHeight="1">
      <c r="A14" s="20" t="inlineStr">
        <is>
          <t>Resource / dataset</t>
        </is>
      </c>
      <c r="B14" s="21" t="n">
        <v>7</v>
      </c>
      <c r="G14" s="18" t="inlineStr">
        <is>
          <t>Selective programmatic SEO</t>
        </is>
      </c>
      <c r="H14" s="19" t="n">
        <v>4</v>
      </c>
    </row>
    <row r="15" ht="34.1796875" customHeight="1">
      <c r="G15" s="18" t="inlineStr">
        <is>
          <t>AI-native delivery systems</t>
        </is>
      </c>
      <c r="H15" s="19" t="n">
        <v>3</v>
      </c>
    </row>
    <row r="16" ht="34.1796875" customHeight="1">
      <c r="G16" s="18" t="inlineStr">
        <is>
          <t>LLM operations</t>
        </is>
      </c>
      <c r="H16" s="19" t="n">
        <v>3</v>
      </c>
    </row>
    <row r="17" ht="34.1796875" customHeight="1">
      <c r="G17" s="18" t="inlineStr">
        <is>
          <t>Solution design</t>
        </is>
      </c>
      <c r="H17" s="19" t="n">
        <v>3</v>
      </c>
    </row>
    <row r="18" ht="34.1796875" customHeight="1">
      <c r="G18" s="18" t="inlineStr">
        <is>
          <t>AI strategy</t>
        </is>
      </c>
      <c r="H18" s="19" t="n">
        <v>2</v>
      </c>
    </row>
    <row r="19" ht="34.1796875" customHeight="1">
      <c r="G19" s="18" t="inlineStr">
        <is>
          <t>Applied AI strategy</t>
        </is>
      </c>
      <c r="H19" s="19" t="n">
        <v>2</v>
      </c>
    </row>
    <row r="20" ht="34.1796875" customHeight="1">
      <c r="G20" s="18" t="inlineStr">
        <is>
          <t>Ad tech + AI</t>
        </is>
      </c>
      <c r="H20" s="19" t="n">
        <v>1</v>
      </c>
    </row>
    <row r="21" ht="17.08984375" customHeight="1">
      <c r="G21" s="18" t="inlineStr">
        <is>
          <t>Comparisons</t>
        </is>
      </c>
      <c r="H21" s="19" t="n">
        <v>1</v>
      </c>
    </row>
    <row r="22" ht="34.1796875" customHeight="1">
      <c r="G22" s="18" t="inlineStr">
        <is>
          <t>Content governance</t>
        </is>
      </c>
      <c r="H22" s="19" t="n">
        <v>1</v>
      </c>
    </row>
    <row r="23" ht="34.1796875" customHeight="1">
      <c r="G23" s="18" t="inlineStr">
        <is>
          <t>Paid media + AI</t>
        </is>
      </c>
      <c r="H23" s="19" t="n">
        <v>1</v>
      </c>
    </row>
    <row r="24" ht="17.08984375" customHeight="1">
      <c r="G24" s="18" t="inlineStr">
        <is>
          <t>Product + analytics</t>
        </is>
      </c>
      <c r="H24" s="19" t="n">
        <v>1</v>
      </c>
    </row>
    <row r="25">
      <c r="G25" s="18" t="inlineStr">
        <is>
          <t>Prompt engineering</t>
        </is>
      </c>
      <c r="H25" s="19" t="n">
        <v>1</v>
      </c>
    </row>
    <row r="26">
      <c r="G26" s="18" t="inlineStr">
        <is>
          <t>Risk and governance</t>
        </is>
      </c>
      <c r="H26" s="19" t="n">
        <v>1</v>
      </c>
    </row>
    <row r="27">
      <c r="G27" s="20" t="inlineStr">
        <is>
          <t>Safe prototyping</t>
        </is>
      </c>
      <c r="H27" s="21" t="n">
        <v>1</v>
      </c>
    </row>
    <row r="28">
      <c r="G28" t="inlineStr">
        <is>
          <t>Tool-using assistants</t>
        </is>
      </c>
      <c r="H28" t="n">
        <v>1</v>
      </c>
    </row>
    <row r="29"/>
    <row r="30"/>
    <row r="31"/>
    <row r="32"/>
    <row r="33"/>
    <row r="34"/>
    <row r="35"/>
    <row r="36"/>
    <row r="37"/>
    <row r="38"/>
    <row r="39"/>
  </sheetData>
  <mergeCells count="3">
    <mergeCell ref="A2:L2"/>
    <mergeCell ref="A1:L1"/>
    <mergeCell ref="J7:L12"/>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61"/>
  <sheetViews>
    <sheetView workbookViewId="0">
      <selection activeCell="A1" sqref="A1"/>
    </sheetView>
  </sheetViews>
  <sheetFormatPr baseColWidth="8" defaultRowHeight="15"/>
  <cols>
    <col width="9.289999961853027" customWidth="1" min="1" max="1"/>
    <col width="15" customWidth="1" min="2" max="2"/>
    <col width="15" customWidth="1" min="3" max="3"/>
    <col width="16.43000030517578" customWidth="1" min="4" max="4"/>
    <col width="16.43000030517578" customWidth="1" min="5" max="5"/>
    <col width="42.13999938964844" customWidth="1" min="6" max="6"/>
    <col width="26.43000030517578" customWidth="1" min="7" max="7"/>
    <col width="16.43000030517578" customWidth="1" min="8" max="8"/>
    <col width="20.70999908447266" customWidth="1" min="9" max="9"/>
    <col width="33.56999969482422" customWidth="1" min="10" max="10"/>
    <col width="25" customWidth="1" min="11" max="11"/>
    <col width="16.43000030517578" customWidth="1" min="12" max="12"/>
    <col width="35" customWidth="1" min="13" max="13"/>
    <col width="22.13999938964844" customWidth="1" min="14" max="14"/>
    <col width="20.70999908447266" customWidth="1" min="15" max="15"/>
    <col width="23.56999969482422" customWidth="1" min="16" max="16"/>
    <col width="30.70999908447266" customWidth="1" min="17" max="17"/>
    <col width="20.70999908447266" customWidth="1" min="18" max="18"/>
    <col width="20.70999908447266" customWidth="1" min="19" max="19"/>
    <col width="15" customWidth="1" min="20" max="20"/>
    <col width="7.860000133514404" customWidth="1" min="21" max="21"/>
    <col width="7.860000133514404" customWidth="1" min="22" max="22"/>
    <col width="7.860000133514404" customWidth="1" min="23" max="23"/>
    <col width="25" customWidth="1" min="24" max="24"/>
    <col width="32.13999938964844" customWidth="1" min="25" max="25"/>
  </cols>
  <sheetData>
    <row r="1">
      <c r="A1" s="31" t="inlineStr">
        <is>
          <t>Master content matrix</t>
        </is>
      </c>
    </row>
    <row r="2">
      <c r="A2" s="35" t="inlineStr">
        <is>
          <t>One row per strategic asset or selectively-scalable page type. This sheet is the system view: authority pages, proof pages, interactive assets, and carefully-bounded scalable templates are intentionally mixed so their relationships stay visible.</t>
        </is>
      </c>
    </row>
    <row r="3" ht="34.1796875" customHeight="1">
      <c r="A3" s="40" t="inlineStr">
        <is>
          <t>Asset_ID</t>
        </is>
      </c>
      <c r="B3" s="41" t="inlineStr">
        <is>
          <t>Asset_Status</t>
        </is>
      </c>
      <c r="C3" s="41" t="inlineStr">
        <is>
          <t>Page_Class</t>
        </is>
      </c>
      <c r="D3" s="41" t="inlineStr">
        <is>
          <t>Pillar</t>
        </is>
      </c>
      <c r="E3" s="41" t="inlineStr">
        <is>
          <t>Cluster</t>
        </is>
      </c>
      <c r="F3" s="41" t="inlineStr">
        <is>
          <t>Working_Title</t>
        </is>
      </c>
      <c r="G3" s="41" t="inlineStr">
        <is>
          <t>Recommended_URL</t>
        </is>
      </c>
      <c r="H3" s="41" t="inlineStr">
        <is>
          <t>Format</t>
        </is>
      </c>
      <c r="I3" s="41" t="inlineStr">
        <is>
          <t>Audience_Segment</t>
        </is>
      </c>
      <c r="J3" s="41" t="inlineStr">
        <is>
          <t>Core_JTBD</t>
        </is>
      </c>
      <c r="K3" s="41" t="inlineStr">
        <is>
          <t>Discovery_Mode</t>
        </is>
      </c>
      <c r="L3" s="41" t="inlineStr">
        <is>
          <t>Intent</t>
        </is>
      </c>
      <c r="M3" s="41" t="inlineStr">
        <is>
          <t>Differentiation_Angle</t>
        </is>
      </c>
      <c r="N3" s="41" t="inlineStr">
        <is>
          <t>Visual_or_Tool_Module</t>
        </is>
      </c>
      <c r="O3" s="41" t="inlineStr">
        <is>
          <t>Structured_Data</t>
        </is>
      </c>
      <c r="P3" s="41" t="inlineStr">
        <is>
          <t>Machine_Readable_Blocks</t>
        </is>
      </c>
      <c r="Q3" s="41" t="inlineStr">
        <is>
          <t>Evidence_or_Inputs</t>
        </is>
      </c>
      <c r="R3" s="41" t="inlineStr">
        <is>
          <t>Parent_Hubs</t>
        </is>
      </c>
      <c r="S3" s="41" t="inlineStr">
        <is>
          <t>Child_or_Next_Steps</t>
        </is>
      </c>
      <c r="T3" s="41" t="inlineStr">
        <is>
          <t>Indexation</t>
        </is>
      </c>
      <c r="U3" s="41" t="inlineStr">
        <is>
          <t>Priority</t>
        </is>
      </c>
      <c r="V3" s="41" t="inlineStr">
        <is>
          <t>Effort</t>
        </is>
      </c>
      <c r="W3" s="41" t="inlineStr">
        <is>
          <t>Impact</t>
        </is>
      </c>
      <c r="X3" s="41" t="inlineStr">
        <is>
          <t>Primary_KPI</t>
        </is>
      </c>
      <c r="Y3" s="42" t="inlineStr">
        <is>
          <t>Research_Source_URLs</t>
        </is>
      </c>
    </row>
    <row r="4" ht="153.80859375" customHeight="1">
      <c r="A4" s="16" t="inlineStr">
        <is>
          <t>A01</t>
        </is>
      </c>
      <c r="B4" s="43" t="inlineStr">
        <is>
          <t>New</t>
        </is>
      </c>
      <c r="C4" s="43" t="inlineStr">
        <is>
          <t>Flagship</t>
        </is>
      </c>
      <c r="D4" s="43" t="inlineStr">
        <is>
          <t>AI-native delivery systems</t>
        </is>
      </c>
      <c r="E4" s="43" t="inlineStr">
        <is>
          <t>AI operating models</t>
        </is>
      </c>
      <c r="F4" s="43" t="inlineStr">
        <is>
          <t>The AI-native delivery stack for data, media, and analytics teams</t>
        </is>
      </c>
      <c r="G4" s="43" t="inlineStr">
        <is>
          <t>/ai/ai-native-delivery-stack</t>
        </is>
      </c>
      <c r="H4" s="43" t="inlineStr">
        <is>
          <t>Flagship essay</t>
        </is>
      </c>
      <c r="I4" s="43" t="inlineStr">
        <is>
          <t>Analytics and media leaders; technical operators</t>
        </is>
      </c>
      <c r="J4" s="43" t="inlineStr">
        <is>
          <t>Understand what a credible AI-enabled delivery system looks like beyond chatbot usage.</t>
        </is>
      </c>
      <c r="K4" s="43" t="inlineStr">
        <is>
          <t>Need-state / strategic discovery / AI search</t>
        </is>
      </c>
      <c r="L4" s="43" t="inlineStr">
        <is>
          <t>Informational + framework</t>
        </is>
      </c>
      <c r="M4" s="43" t="inlineStr">
        <is>
          <t>Turns scattered tool chatter into an operating model with phases, roles, tooling layers, and governance.</t>
        </is>
      </c>
      <c r="N4" s="43" t="inlineStr">
        <is>
          <t>Capability stack diagram + maturity ladder</t>
        </is>
      </c>
      <c r="O4" s="43" t="inlineStr">
        <is>
          <t>Article; Breadcrumb; ProfilePage (author)</t>
        </is>
      </c>
      <c r="P4" s="43" t="inlineStr">
        <is>
          <t>Definitions blocks; step lists; comparison tables; explicit decision criteria</t>
        </is>
      </c>
      <c r="Q4" s="43" t="inlineStr">
        <is>
          <t>Firsthand project examples, screenshots, architecture notes, cost/latency tradeoffs</t>
        </is>
      </c>
      <c r="R4" s="43" t="inlineStr">
        <is>
          <t>Home; AI hub; From AI pilots to business value</t>
        </is>
      </c>
      <c r="S4" s="43" t="inlineStr">
        <is>
          <t>AI maturity model; automation vs agent decision tree; orchestration pattern library</t>
        </is>
      </c>
      <c r="T4" s="43" t="inlineStr">
        <is>
          <t>Index</t>
        </is>
      </c>
      <c r="U4" s="43" t="inlineStr">
        <is>
          <t>P1</t>
        </is>
      </c>
      <c r="V4" s="43" t="inlineStr">
        <is>
          <t>L</t>
        </is>
      </c>
      <c r="W4" s="43" t="inlineStr">
        <is>
          <t>H</t>
        </is>
      </c>
      <c r="X4" s="43" t="inlineStr">
        <is>
          <t>Organic entrances into the AI hub; engaged time; assisted newsletter / follow conversion</t>
        </is>
      </c>
      <c r="Y4" s="17" t="inlineStr">
        <is>
          <t>https://developers.google.com/search/docs/fundamentals/creating-helpful-content ; https://developers.google.com/search/docs/appearance/structured-data/article ; https://developers.google.com/search/docs/appearance/structured-data/profile-page</t>
        </is>
      </c>
    </row>
    <row r="5" ht="102.5390625" customHeight="1">
      <c r="A5" s="18" t="inlineStr">
        <is>
          <t>A02</t>
        </is>
      </c>
      <c r="B5" s="4" t="inlineStr">
        <is>
          <t>Existing -&gt; expand</t>
        </is>
      </c>
      <c r="C5" s="4" t="inlineStr">
        <is>
          <t>Flagship</t>
        </is>
      </c>
      <c r="D5" s="4" t="inlineStr">
        <is>
          <t>Applied AI strategy</t>
        </is>
      </c>
      <c r="E5" s="4" t="inlineStr">
        <is>
          <t>Business value</t>
        </is>
      </c>
      <c r="F5" s="4" t="inlineStr">
        <is>
          <t>From AI pilots to clear business value</t>
        </is>
      </c>
      <c r="G5" s="4" t="inlineStr">
        <is>
          <t>/blog/from-ai-pilots-to-business-value</t>
        </is>
      </c>
      <c r="H5" s="4" t="inlineStr">
        <is>
          <t>Flagship essay</t>
        </is>
      </c>
      <c r="I5" s="4" t="inlineStr">
        <is>
          <t>Business leaders; transformation sponsors; heads of data/marketing</t>
        </is>
      </c>
      <c r="J5" s="4" t="inlineStr">
        <is>
          <t>Move from experimentation theatre to measurable business outcomes.</t>
        </is>
      </c>
      <c r="K5" s="4" t="inlineStr">
        <is>
          <t>Strategic discovery / branded search / AI search summaries</t>
        </is>
      </c>
      <c r="L5" s="4" t="inlineStr">
        <is>
          <t>Informational + commercial investigation</t>
        </is>
      </c>
      <c r="M5" s="4" t="inlineStr">
        <is>
          <t>Anchors the site in operator credibility: what actually changes process quality, risk, speed, and economics.</t>
        </is>
      </c>
      <c r="N5" s="4" t="inlineStr">
        <is>
          <t>Before/after operating model visual + value chain map</t>
        </is>
      </c>
      <c r="O5" s="4" t="inlineStr">
        <is>
          <t>Article; Breadcrumb; ProfilePage</t>
        </is>
      </c>
      <c r="P5" s="4" t="inlineStr">
        <is>
          <t>Key takeaways; criteria tables; implementation stages</t>
        </is>
      </c>
      <c r="Q5" s="4" t="inlineStr">
        <is>
          <t>Real projects, delivery artifacts, postmortem patterns</t>
        </is>
      </c>
      <c r="R5" s="4" t="inlineStr">
        <is>
          <t>AI hub; About; Projects</t>
        </is>
      </c>
      <c r="S5" s="4" t="inlineStr">
        <is>
          <t>AI-native delivery stack; AI maturity model; orchestrator essay</t>
        </is>
      </c>
      <c r="T5" s="4" t="inlineStr">
        <is>
          <t>Index</t>
        </is>
      </c>
      <c r="U5" s="4" t="inlineStr">
        <is>
          <t>P1</t>
        </is>
      </c>
      <c r="V5" s="4" t="inlineStr">
        <is>
          <t>M</t>
        </is>
      </c>
      <c r="W5" s="4" t="inlineStr">
        <is>
          <t>H</t>
        </is>
      </c>
      <c r="X5" s="4" t="inlineStr">
        <is>
          <t>Authority links, branded search growth, lead-assist behavior</t>
        </is>
      </c>
      <c r="Y5" s="19" t="inlineStr">
        <is>
          <t>https://rajeevg.com/blog/from-ai-pilots-to-business-value ; https://developers.google.com/search/docs/fundamentals/creating-helpful-content</t>
        </is>
      </c>
    </row>
    <row r="6" ht="102.5390625" customHeight="1">
      <c r="A6" s="18" t="inlineStr">
        <is>
          <t>A03</t>
        </is>
      </c>
      <c r="B6" s="4" t="inlineStr">
        <is>
          <t>New</t>
        </is>
      </c>
      <c r="C6" s="4" t="inlineStr">
        <is>
          <t>Flagship</t>
        </is>
      </c>
      <c r="D6" s="4" t="inlineStr">
        <is>
          <t>Agentic engineering</t>
        </is>
      </c>
      <c r="E6" s="4" t="inlineStr">
        <is>
          <t>Build workflows</t>
        </is>
      </c>
      <c r="F6" s="4" t="inlineStr">
        <is>
          <t>From vibe coding to agentic engineering</t>
        </is>
      </c>
      <c r="G6" s="4" t="inlineStr">
        <is>
          <t>/ai/from-vibe-coding-to-agentic-engineering</t>
        </is>
      </c>
      <c r="H6" s="4" t="inlineStr">
        <is>
          <t>Flagship essay</t>
        </is>
      </c>
      <c r="I6" s="4" t="inlineStr">
        <is>
          <t>Builders; product-minded operators; technical marketers</t>
        </is>
      </c>
      <c r="J6" s="4" t="inlineStr">
        <is>
          <t>Choose the right build mode for a given problem, risk profile, and timeline.</t>
        </is>
      </c>
      <c r="K6" s="4" t="inlineStr">
        <is>
          <t>Comparative discovery / category search / social-driven discovery</t>
        </is>
      </c>
      <c r="L6" s="4" t="inlineStr">
        <is>
          <t>Comparative + framework</t>
        </is>
      </c>
      <c r="M6" s="4" t="inlineStr">
        <is>
          <t>Creates a reusable comparison model across Bolt, Replit, coding agents, local toolchains, and orchestration approaches.</t>
        </is>
      </c>
      <c r="N6" s="4" t="inlineStr">
        <is>
          <t>Explorable comparison matrix</t>
        </is>
      </c>
      <c r="O6" s="4" t="inlineStr">
        <is>
          <t>Article; Breadcrumb; ProfilePage</t>
        </is>
      </c>
      <c r="P6" s="4" t="inlineStr">
        <is>
          <t>Pros/cons table; selection criteria; glossary sidebar</t>
        </is>
      </c>
      <c r="Q6" s="4" t="inlineStr">
        <is>
          <t>Benchmarked workflows, failure cases, screenshots, repo notes</t>
        </is>
      </c>
      <c r="R6" s="4" t="inlineStr">
        <is>
          <t>AI hub; build systems cluster</t>
        </is>
      </c>
      <c r="S6" s="4" t="inlineStr">
        <is>
          <t>Tool comparison explorer; risks of vibe coding; prompt teardown library</t>
        </is>
      </c>
      <c r="T6" s="4" t="inlineStr">
        <is>
          <t>Index</t>
        </is>
      </c>
      <c r="U6" s="4" t="inlineStr">
        <is>
          <t>P1</t>
        </is>
      </c>
      <c r="V6" s="4" t="inlineStr">
        <is>
          <t>L</t>
        </is>
      </c>
      <c r="W6" s="4" t="inlineStr">
        <is>
          <t>H</t>
        </is>
      </c>
      <c r="X6" s="4" t="inlineStr">
        <is>
          <t>Topical authority in builder/operator niche; return visits</t>
        </is>
      </c>
      <c r="Y6" s="19" t="inlineStr">
        <is>
          <t>https://developers.google.com/search/docs/fundamentals/creating-helpful-content ; https://developers.google.com/search/docs/essentials/spam-policies</t>
        </is>
      </c>
    </row>
    <row r="7" ht="85.44921875" customHeight="1">
      <c r="A7" s="18" t="inlineStr">
        <is>
          <t>A04</t>
        </is>
      </c>
      <c r="B7" s="4" t="inlineStr">
        <is>
          <t>New</t>
        </is>
      </c>
      <c r="C7" s="4" t="inlineStr">
        <is>
          <t>Flagship</t>
        </is>
      </c>
      <c r="D7" s="4" t="inlineStr">
        <is>
          <t>Reliable AI usage</t>
        </is>
      </c>
      <c r="E7" s="4" t="inlineStr">
        <is>
          <t>Research workflows</t>
        </is>
      </c>
      <c r="F7" s="4" t="inlineStr">
        <is>
          <t>Why AI + web search beats closed-model prompting for real work</t>
        </is>
      </c>
      <c r="G7" s="4" t="inlineStr">
        <is>
          <t>/ai/why-ai-plus-web-search-wins</t>
        </is>
      </c>
      <c r="H7" s="4" t="inlineStr">
        <is>
          <t>Flagship essay</t>
        </is>
      </c>
      <c r="I7" s="4" t="inlineStr">
        <is>
          <t>Analysts; marketers; engineers; AI-curious operators</t>
        </is>
      </c>
      <c r="J7" s="4" t="inlineStr">
        <is>
          <t>Understand when live search, docs, APIs, or system tools must augment model-only prompting.</t>
        </is>
      </c>
      <c r="K7" s="4" t="inlineStr">
        <is>
          <t>Need-state discovery before users know the exact tool gap</t>
        </is>
      </c>
      <c r="L7" s="4" t="inlineStr">
        <is>
          <t>Informational + workflow</t>
        </is>
      </c>
      <c r="M7" s="4" t="inlineStr">
        <is>
          <t>Connects hallucination risk, data freshness, documentation access, and research workflow design into one operator narrative.</t>
        </is>
      </c>
      <c r="N7" s="4" t="inlineStr">
        <is>
          <t>Research workflow diagram + source-quality matrix</t>
        </is>
      </c>
      <c r="O7" s="4" t="inlineStr">
        <is>
          <t>Article; Breadcrumb; ProfilePage</t>
        </is>
      </c>
      <c r="P7" s="4" t="inlineStr">
        <is>
          <t>Decision bullets; source hierarchy tables; explicit claim classes</t>
        </is>
      </c>
      <c r="Q7" s="4" t="inlineStr">
        <is>
          <t>Fresh examples from docs, policy pages, product changes, and analytics debugging</t>
        </is>
      </c>
      <c r="R7" s="4" t="inlineStr">
        <is>
          <t>AI hub; trust cluster</t>
        </is>
      </c>
      <c r="S7" s="4" t="inlineStr">
        <is>
          <t>Claim typing framework; feasibility -&gt; prompt -&gt; build loop</t>
        </is>
      </c>
      <c r="T7" s="4" t="inlineStr">
        <is>
          <t>Index</t>
        </is>
      </c>
      <c r="U7" s="4" t="inlineStr">
        <is>
          <t>P1</t>
        </is>
      </c>
      <c r="V7" s="4" t="inlineStr">
        <is>
          <t>M</t>
        </is>
      </c>
      <c r="W7" s="4" t="inlineStr">
        <is>
          <t>H</t>
        </is>
      </c>
      <c r="X7" s="4" t="inlineStr">
        <is>
          <t>Discovery from broad AI questions; newsletter signups; assisted session depth</t>
        </is>
      </c>
      <c r="Y7" s="19" t="inlineStr">
        <is>
          <t>https://developers.google.com/search/docs/fundamentals/creating-helpful-content ; https://developers.google.com/search/docs/essentials</t>
        </is>
      </c>
    </row>
    <row r="8" ht="85.44921875" customHeight="1">
      <c r="A8" s="18" t="inlineStr">
        <is>
          <t>A05</t>
        </is>
      </c>
      <c r="B8" s="4" t="inlineStr">
        <is>
          <t>New</t>
        </is>
      </c>
      <c r="C8" s="4" t="inlineStr">
        <is>
          <t>Flagship</t>
        </is>
      </c>
      <c r="D8" s="4" t="inlineStr">
        <is>
          <t>Solution design</t>
        </is>
      </c>
      <c r="E8" s="4" t="inlineStr">
        <is>
          <t>Orchestration</t>
        </is>
      </c>
      <c r="F8" s="4" t="inlineStr">
        <is>
          <t>Be an orchestrator, not a coder</t>
        </is>
      </c>
      <c r="G8" s="4" t="inlineStr">
        <is>
          <t>/ai/be-an-orchestrator-not-a-coder</t>
        </is>
      </c>
      <c r="H8" s="4" t="inlineStr">
        <is>
          <t>Flagship essay</t>
        </is>
      </c>
      <c r="I8" s="4" t="inlineStr">
        <is>
          <t>Business-savvy builders; consultants; operators under delivery pressure</t>
        </is>
      </c>
      <c r="J8" s="4" t="inlineStr">
        <is>
          <t>Learn how to combine existing tools, repos, APIs, and workflows instead of reinventing commodity plumbing.</t>
        </is>
      </c>
      <c r="K8" s="4" t="inlineStr">
        <is>
          <t>Problem-led discovery / workflow search / AI search</t>
        </is>
      </c>
      <c r="L8" s="4" t="inlineStr">
        <is>
          <t>Informational + commercial investigation</t>
        </is>
      </c>
      <c r="M8" s="4" t="inlineStr">
        <is>
          <t>High-trust, anti-hype point of view that matches your firsthand prototype-building authority.</t>
        </is>
      </c>
      <c r="N8" s="4" t="inlineStr">
        <is>
          <t>Solution pattern map + stack chooser</t>
        </is>
      </c>
      <c r="O8" s="4" t="inlineStr">
        <is>
          <t>Article; Breadcrumb; ProfilePage</t>
        </is>
      </c>
      <c r="P8" s="4" t="inlineStr">
        <is>
          <t>Patterns; examples; checklists; vendor fit tables</t>
        </is>
      </c>
      <c r="Q8" s="4" t="inlineStr">
        <is>
          <t>Case studies showing repo reuse, tool stitching, and time-to-value gains</t>
        </is>
      </c>
      <c r="R8" s="4" t="inlineStr">
        <is>
          <t>AI hub; business value hub</t>
        </is>
      </c>
      <c r="S8" s="4" t="inlineStr">
        <is>
          <t>Pattern library pages; workflow playbooks; curated repos resource</t>
        </is>
      </c>
      <c r="T8" s="4" t="inlineStr">
        <is>
          <t>Index</t>
        </is>
      </c>
      <c r="U8" s="4" t="inlineStr">
        <is>
          <t>P1</t>
        </is>
      </c>
      <c r="V8" s="4" t="inlineStr">
        <is>
          <t>M</t>
        </is>
      </c>
      <c r="W8" s="4" t="inlineStr">
        <is>
          <t>H</t>
        </is>
      </c>
      <c r="X8" s="4" t="inlineStr">
        <is>
          <t>Higher-quality audience growth and future lead fit</t>
        </is>
      </c>
      <c r="Y8" s="19" t="inlineStr">
        <is>
          <t>https://developers.google.com/search/docs/fundamentals/creating-helpful-content ; https://rajeevg.com/blog/from-ai-pilots-to-business-value</t>
        </is>
      </c>
    </row>
    <row r="9" ht="102.5390625" customHeight="1">
      <c r="A9" s="18" t="inlineStr">
        <is>
          <t>A06</t>
        </is>
      </c>
      <c r="B9" s="4" t="inlineStr">
        <is>
          <t>New</t>
        </is>
      </c>
      <c r="C9" s="4" t="inlineStr">
        <is>
          <t>Flagship</t>
        </is>
      </c>
      <c r="D9" s="4" t="inlineStr">
        <is>
          <t>Analytics engineering</t>
        </is>
      </c>
      <c r="E9" s="4" t="inlineStr">
        <is>
          <t>Measurement systems</t>
        </is>
      </c>
      <c r="F9" s="4" t="inlineStr">
        <is>
          <t>The modern measurement stack: analytics contracts, consent, first-party delivery, and warehousing</t>
        </is>
      </c>
      <c r="G9" s="4" t="inlineStr">
        <is>
          <t>/analytics/modern-measurement-stack</t>
        </is>
      </c>
      <c r="H9" s="4" t="inlineStr">
        <is>
          <t>Flagship essay</t>
        </is>
      </c>
      <c r="I9" s="4" t="inlineStr">
        <is>
          <t>Analytics engineers; technical marketers; data leads</t>
        </is>
      </c>
      <c r="J9" s="4" t="inlineStr">
        <is>
          <t>See how modern measurement should be designed as a system, not as isolated tags or dashboards.</t>
        </is>
      </c>
      <c r="K9" s="4" t="inlineStr">
        <is>
          <t>Problem-led discovery / comparison to generic analytics setup posts</t>
        </is>
      </c>
      <c r="L9" s="4" t="inlineStr">
        <is>
          <t>Informational + framework</t>
        </is>
      </c>
      <c r="M9" s="4" t="inlineStr">
        <is>
          <t>Extends your existing consented first-party analytics work into a broader opinionated operating model.</t>
        </is>
      </c>
      <c r="N9" s="4" t="inlineStr">
        <is>
          <t>Architecture map + event flow explorer</t>
        </is>
      </c>
      <c r="O9" s="4" t="inlineStr">
        <is>
          <t>Article; Breadcrumb; ProfilePage</t>
        </is>
      </c>
      <c r="P9" s="4" t="inlineStr">
        <is>
          <t>Architecture sections; entity definitions; step-by-step system decomposition</t>
        </is>
      </c>
      <c r="Q9" s="4" t="inlineStr">
        <is>
          <t>Project screenshots, contract docs, GTM / sGTM / BigQuery flow proof</t>
        </is>
      </c>
      <c r="R9" s="4" t="inlineStr">
        <is>
          <t>Analytics hub; existing analytics stack case study</t>
        </is>
      </c>
      <c r="S9" s="4" t="inlineStr">
        <is>
          <t>Analytics contract page; site analytics project; architecture map</t>
        </is>
      </c>
      <c r="T9" s="4" t="inlineStr">
        <is>
          <t>Index</t>
        </is>
      </c>
      <c r="U9" s="4" t="inlineStr">
        <is>
          <t>P1</t>
        </is>
      </c>
      <c r="V9" s="4" t="inlineStr">
        <is>
          <t>L</t>
        </is>
      </c>
      <c r="W9" s="4" t="inlineStr">
        <is>
          <t>H</t>
        </is>
      </c>
      <c r="X9" s="4" t="inlineStr">
        <is>
          <t>Topical authority in analytics + technical marketing</t>
        </is>
      </c>
      <c r="Y9" s="19" t="inlineStr">
        <is>
          <t>https://rajeevg.com/blog/how-we-built-a-consented-first-party-analytics-stack ; https://developers.google.com/search/docs/fundamentals/creating-helpful-content</t>
        </is>
      </c>
    </row>
    <row r="10" ht="102.5390625" customHeight="1">
      <c r="A10" s="18" t="inlineStr">
        <is>
          <t>A07</t>
        </is>
      </c>
      <c r="B10" s="4" t="inlineStr">
        <is>
          <t>New</t>
        </is>
      </c>
      <c r="C10" s="4" t="inlineStr">
        <is>
          <t>Cluster</t>
        </is>
      </c>
      <c r="D10" s="4" t="inlineStr">
        <is>
          <t>Agentic engineering</t>
        </is>
      </c>
      <c r="E10" s="4" t="inlineStr">
        <is>
          <t>Agent configuration</t>
        </is>
      </c>
      <c r="F10" s="4" t="inlineStr">
        <is>
          <t>Agents.md, tool maps, and workflow docs: how to make coding agents reliably useful</t>
        </is>
      </c>
      <c r="G10" s="4" t="inlineStr">
        <is>
          <t>/ai/agents-md-tool-maps-workflow-docs</t>
        </is>
      </c>
      <c r="H10" s="4" t="inlineStr">
        <is>
          <t>Tactical guide</t>
        </is>
      </c>
      <c r="I10" s="4" t="inlineStr">
        <is>
          <t>Advanced builders; technical operators</t>
        </is>
      </c>
      <c r="J10" s="4" t="inlineStr">
        <is>
          <t>Create a routing layer that tells an agent what tools exist, when to use them, and how ready they are.</t>
        </is>
      </c>
      <c r="K10" s="4" t="inlineStr">
        <is>
          <t>Entity-led discovery / tool-specific searches</t>
        </is>
      </c>
      <c r="L10" s="4" t="inlineStr">
        <is>
          <t>Informational + workflow</t>
        </is>
      </c>
      <c r="M10" s="4" t="inlineStr">
        <is>
          <t>Distinctive because it treats agent configuration as system design, not prompt poetry.</t>
        </is>
      </c>
      <c r="N10" s="4" t="inlineStr">
        <is>
          <t>Interactive architecture map</t>
        </is>
      </c>
      <c r="O10" s="4" t="inlineStr">
        <is>
          <t>Article; Breadcrumb</t>
        </is>
      </c>
      <c r="P10" s="4" t="inlineStr">
        <is>
          <t>Definition blocks; configuration schema examples; failure-mode checklist</t>
        </is>
      </c>
      <c r="Q10" s="4" t="inlineStr">
        <is>
          <t>Real folder structures, readiness states, and examples from working agent projects</t>
        </is>
      </c>
      <c r="R10" s="4" t="inlineStr">
        <is>
          <t>From vibe coding to agentic engineering; AI-native delivery stack</t>
        </is>
      </c>
      <c r="S10" s="4" t="inlineStr">
        <is>
          <t>Automation vs agent decision tree; risks page; glossary entries</t>
        </is>
      </c>
      <c r="T10" s="4" t="inlineStr">
        <is>
          <t>Index</t>
        </is>
      </c>
      <c r="U10" s="4" t="inlineStr">
        <is>
          <t>P1</t>
        </is>
      </c>
      <c r="V10" s="4" t="inlineStr">
        <is>
          <t>M</t>
        </is>
      </c>
      <c r="W10" s="4" t="inlineStr">
        <is>
          <t>H</t>
        </is>
      </c>
      <c r="X10" s="4" t="inlineStr">
        <is>
          <t>High-quality niche traffic and citations</t>
        </is>
      </c>
      <c r="Y10" s="19" t="inlineStr">
        <is>
          <t>https://developers.google.com/search/docs/fundamentals/creating-helpful-content ; https://developers.google.com/search/docs/appearance/structured-data/article</t>
        </is>
      </c>
    </row>
    <row r="11" ht="68.359375" customHeight="1">
      <c r="A11" s="18" t="inlineStr">
        <is>
          <t>A08</t>
        </is>
      </c>
      <c r="B11" s="4" t="inlineStr">
        <is>
          <t>New</t>
        </is>
      </c>
      <c r="C11" s="4" t="inlineStr">
        <is>
          <t>Cluster</t>
        </is>
      </c>
      <c r="D11" s="4" t="inlineStr">
        <is>
          <t>Reliable AI usage</t>
        </is>
      </c>
      <c r="E11" s="4" t="inlineStr">
        <is>
          <t>Build methodology</t>
        </is>
      </c>
      <c r="F11" s="4" t="inlineStr">
        <is>
          <t>The feasibility -&gt; documentation -&gt; prompt -&gt; build loop that reduces LLM failure</t>
        </is>
      </c>
      <c r="G11" s="4" t="inlineStr">
        <is>
          <t>/ai/feasibility-documentation-prompt-build-loop</t>
        </is>
      </c>
      <c r="H11" s="4" t="inlineStr">
        <is>
          <t>Tactical guide</t>
        </is>
      </c>
      <c r="I11" s="4" t="inlineStr">
        <is>
          <t>Operators shipping prototypes; analysts automating work</t>
        </is>
      </c>
      <c r="J11" s="4" t="inlineStr">
        <is>
          <t>Reduce bad outputs by front-loading feasibility checks and documentation research.</t>
        </is>
      </c>
      <c r="K11" s="4" t="inlineStr">
        <is>
          <t>Workflow-oriented discovery</t>
        </is>
      </c>
      <c r="L11" s="4" t="inlineStr">
        <is>
          <t>Informational + workflow</t>
        </is>
      </c>
      <c r="M11" s="4" t="inlineStr">
        <is>
          <t>Teaches a repeatable delivery loop instead of one-off prompting tips.</t>
        </is>
      </c>
      <c r="N11" s="4" t="inlineStr">
        <is>
          <t>Workflow swimlane diagram</t>
        </is>
      </c>
      <c r="O11" s="4" t="inlineStr">
        <is>
          <t>Article; Breadcrumb</t>
        </is>
      </c>
      <c r="P11" s="4" t="inlineStr">
        <is>
          <t>Step list; checklist; decision gates</t>
        </is>
      </c>
      <c r="Q11" s="4" t="inlineStr">
        <is>
          <t>Before/after examples, failed prompt examples, doc-reading heuristics</t>
        </is>
      </c>
      <c r="R11" s="4" t="inlineStr">
        <is>
          <t>Why AI + web search wins; AI-native delivery stack</t>
        </is>
      </c>
      <c r="S11" s="4" t="inlineStr">
        <is>
          <t>Prompt teardown library; risks page</t>
        </is>
      </c>
      <c r="T11" s="4" t="inlineStr">
        <is>
          <t>Index</t>
        </is>
      </c>
      <c r="U11" s="4" t="inlineStr">
        <is>
          <t>P1</t>
        </is>
      </c>
      <c r="V11" s="4" t="inlineStr">
        <is>
          <t>M</t>
        </is>
      </c>
      <c r="W11" s="4" t="inlineStr">
        <is>
          <t>H</t>
        </is>
      </c>
      <c r="X11" s="4" t="inlineStr">
        <is>
          <t>Scroll depth, saves, assisted journeys into build assets</t>
        </is>
      </c>
      <c r="Y11" s="19" t="inlineStr">
        <is>
          <t>https://developers.google.com/search/docs/fundamentals/creating-helpful-content</t>
        </is>
      </c>
    </row>
    <row r="12" ht="85.44921875" customHeight="1">
      <c r="A12" s="18" t="inlineStr">
        <is>
          <t>A09</t>
        </is>
      </c>
      <c r="B12" s="4" t="inlineStr">
        <is>
          <t>New</t>
        </is>
      </c>
      <c r="C12" s="4" t="inlineStr">
        <is>
          <t>Cluster</t>
        </is>
      </c>
      <c r="D12" s="4" t="inlineStr">
        <is>
          <t>LLM operations</t>
        </is>
      </c>
      <c r="E12" s="4" t="inlineStr">
        <is>
          <t>Context management</t>
        </is>
      </c>
      <c r="F12" s="4" t="inlineStr">
        <is>
          <t>Tokens, context windows, and task sizing: how to stop wasting model context</t>
        </is>
      </c>
      <c r="G12" s="4" t="inlineStr">
        <is>
          <t>/ai/tokens-context-windows-task-sizing</t>
        </is>
      </c>
      <c r="H12" s="4" t="inlineStr">
        <is>
          <t>Guide</t>
        </is>
      </c>
      <c r="I12" s="4" t="inlineStr">
        <is>
          <t>Advanced users; analysts; engineers; buyers evaluating AI effectiveness</t>
        </is>
      </c>
      <c r="J12" s="4" t="inlineStr">
        <is>
          <t>Understand why some tasks fail because they are poorly scoped, chunked, or routed.</t>
        </is>
      </c>
      <c r="K12" s="4" t="inlineStr">
        <is>
          <t>Need-state discovery / AI search / glossary-adjacent searches</t>
        </is>
      </c>
      <c r="L12" s="4" t="inlineStr">
        <is>
          <t>Informational</t>
        </is>
      </c>
      <c r="M12" s="4" t="inlineStr">
        <is>
          <t>Connects theory to practical job design and model economics.</t>
        </is>
      </c>
      <c r="N12" s="4" t="inlineStr">
        <is>
          <t>Context budget calculator</t>
        </is>
      </c>
      <c r="O12" s="4" t="inlineStr">
        <is>
          <t>Article; Breadcrumb</t>
        </is>
      </c>
      <c r="P12" s="4" t="inlineStr">
        <is>
          <t>Definitions; worked examples; formulas; sizing heuristics</t>
        </is>
      </c>
      <c r="Q12" s="4" t="inlineStr">
        <is>
          <t>Token counts, chunking examples, cost/latency comparisons</t>
        </is>
      </c>
      <c r="R12" s="4" t="inlineStr">
        <is>
          <t>AI hub; feasibility loop</t>
        </is>
      </c>
      <c r="S12" s="4" t="inlineStr">
        <is>
          <t>Context brokers page; calculator; glossary</t>
        </is>
      </c>
      <c r="T12" s="4" t="inlineStr">
        <is>
          <t>Index</t>
        </is>
      </c>
      <c r="U12" s="4" t="inlineStr">
        <is>
          <t>P1</t>
        </is>
      </c>
      <c r="V12" s="4" t="inlineStr">
        <is>
          <t>M</t>
        </is>
      </c>
      <c r="W12" s="4" t="inlineStr">
        <is>
          <t>H</t>
        </is>
      </c>
      <c r="X12" s="4" t="inlineStr">
        <is>
          <t>Entrances from broad 'what is context window' queries into deeper workflow content</t>
        </is>
      </c>
      <c r="Y12" s="19" t="inlineStr">
        <is>
          <t>https://developers.google.com/search/docs/fundamentals/creating-helpful-content</t>
        </is>
      </c>
    </row>
    <row r="13" ht="68.359375" customHeight="1">
      <c r="A13" s="18" t="inlineStr">
        <is>
          <t>A10</t>
        </is>
      </c>
      <c r="B13" s="4" t="inlineStr">
        <is>
          <t>New</t>
        </is>
      </c>
      <c r="C13" s="4" t="inlineStr">
        <is>
          <t>Cluster</t>
        </is>
      </c>
      <c r="D13" s="4" t="inlineStr">
        <is>
          <t>LLM operations</t>
        </is>
      </c>
      <c r="E13" s="4" t="inlineStr">
        <is>
          <t>Cost and routing</t>
        </is>
      </c>
      <c r="F13" s="4" t="inlineStr">
        <is>
          <t>Context brokers and token efficiency: how to offload context-heavy work to cheaper agents</t>
        </is>
      </c>
      <c r="G13" s="4" t="inlineStr">
        <is>
          <t>/ai/context-brokers-token-efficiency</t>
        </is>
      </c>
      <c r="H13" s="4" t="inlineStr">
        <is>
          <t>Advanced guide</t>
        </is>
      </c>
      <c r="I13" s="4" t="inlineStr">
        <is>
          <t>Advanced operators; engineering-minded teams</t>
        </is>
      </c>
      <c r="J13" s="4" t="inlineStr">
        <is>
          <t>Lower cost and latency by splitting heavy retrieval/context tasks from final synthesis tasks.</t>
        </is>
      </c>
      <c r="K13" s="4" t="inlineStr">
        <is>
          <t>Deep-problem discovery / AI search</t>
        </is>
      </c>
      <c r="L13" s="4" t="inlineStr">
        <is>
          <t>Informational + workflow</t>
        </is>
      </c>
      <c r="M13" s="4" t="inlineStr">
        <is>
          <t>Strong differentiation because it is economic, technical, and operational at once.</t>
        </is>
      </c>
      <c r="N13" s="4" t="inlineStr">
        <is>
          <t>Cost/latency flow diagram + calculator hooks</t>
        </is>
      </c>
      <c r="O13" s="4" t="inlineStr">
        <is>
          <t>Article; Breadcrumb</t>
        </is>
      </c>
      <c r="P13" s="4" t="inlineStr">
        <is>
          <t>Decision criteria; routing matrix; pseudo-architectures</t>
        </is>
      </c>
      <c r="Q13" s="4" t="inlineStr">
        <is>
          <t>Worked examples with multiple agents/models and task decomposition</t>
        </is>
      </c>
      <c r="R13" s="4" t="inlineStr">
        <is>
          <t>Tokens/context guide; AI-native delivery stack</t>
        </is>
      </c>
      <c r="S13" s="4" t="inlineStr">
        <is>
          <t>Calculator; automation vs agent decision tree</t>
        </is>
      </c>
      <c r="T13" s="4" t="inlineStr">
        <is>
          <t>Index</t>
        </is>
      </c>
      <c r="U13" s="4" t="inlineStr">
        <is>
          <t>P2</t>
        </is>
      </c>
      <c r="V13" s="4" t="inlineStr">
        <is>
          <t>M</t>
        </is>
      </c>
      <c r="W13" s="4" t="inlineStr">
        <is>
          <t>M</t>
        </is>
      </c>
      <c r="X13" s="4" t="inlineStr">
        <is>
          <t>Return visits and bookmark/share rate among advanced users</t>
        </is>
      </c>
      <c r="Y13" s="19" t="inlineStr">
        <is>
          <t>https://developers.google.com/search/docs/fundamentals/creating-helpful-content</t>
        </is>
      </c>
    </row>
    <row r="14" ht="102.5390625" customHeight="1">
      <c r="A14" s="18" t="inlineStr">
        <is>
          <t>A11</t>
        </is>
      </c>
      <c r="B14" s="4" t="inlineStr">
        <is>
          <t>New</t>
        </is>
      </c>
      <c r="C14" s="4" t="inlineStr">
        <is>
          <t>Cluster</t>
        </is>
      </c>
      <c r="D14" s="4" t="inlineStr">
        <is>
          <t>Tool-using assistants</t>
        </is>
      </c>
      <c r="E14" s="4" t="inlineStr">
        <is>
          <t>Deterministic workflows</t>
        </is>
      </c>
      <c r="F14" s="4" t="inlineStr">
        <is>
          <t>How tool-using AI assistants get more deterministic results</t>
        </is>
      </c>
      <c r="G14" s="4" t="inlineStr">
        <is>
          <t>/ai/how-tool-using-ai-assistants-work</t>
        </is>
      </c>
      <c r="H14" s="4" t="inlineStr">
        <is>
          <t>Guide</t>
        </is>
      </c>
      <c r="I14" s="4" t="inlineStr">
        <is>
          <t>Technical marketers; analysts; curious buyers</t>
        </is>
      </c>
      <c r="J14" s="4" t="inlineStr">
        <is>
          <t>Understand why code execution, tools, and retrieval improve output reliability.</t>
        </is>
      </c>
      <c r="K14" s="4" t="inlineStr">
        <is>
          <t>Entity-led discovery around tools/features</t>
        </is>
      </c>
      <c r="L14" s="4" t="inlineStr">
        <is>
          <t>Informational</t>
        </is>
      </c>
      <c r="M14" s="4" t="inlineStr">
        <is>
          <t>Uses concrete interfaces people already recognize while teaching the more general pattern.</t>
        </is>
      </c>
      <c r="N14" s="4" t="inlineStr">
        <is>
          <t>Annotated architecture diagram</t>
        </is>
      </c>
      <c r="O14" s="4" t="inlineStr">
        <is>
          <t>Article; Breadcrumb</t>
        </is>
      </c>
      <c r="P14" s="4" t="inlineStr">
        <is>
          <t>Definitions; process diagrams; comparison table</t>
        </is>
      </c>
      <c r="Q14" s="4" t="inlineStr">
        <is>
          <t>Examples with code execution, file access, browser/search, and structured outputs</t>
        </is>
      </c>
      <c r="R14" s="4" t="inlineStr">
        <is>
          <t>Why AI + web search wins; from vibe coding to agentic engineering</t>
        </is>
      </c>
      <c r="S14" s="4" t="inlineStr">
        <is>
          <t>Risks page; feasibility loop</t>
        </is>
      </c>
      <c r="T14" s="4" t="inlineStr">
        <is>
          <t>Index</t>
        </is>
      </c>
      <c r="U14" s="4" t="inlineStr">
        <is>
          <t>P2</t>
        </is>
      </c>
      <c r="V14" s="4" t="inlineStr">
        <is>
          <t>M</t>
        </is>
      </c>
      <c r="W14" s="4" t="inlineStr">
        <is>
          <t>M</t>
        </is>
      </c>
      <c r="X14" s="4" t="inlineStr">
        <is>
          <t>Top-of-funnel technical discovery and internal progression</t>
        </is>
      </c>
      <c r="Y14" s="19" t="inlineStr">
        <is>
          <t>https://developers.google.com/search/docs/fundamentals/creating-helpful-content ; https://developers.google.com/search/docs/appearance/structured-data/article</t>
        </is>
      </c>
    </row>
    <row r="15" ht="102.5390625" customHeight="1">
      <c r="A15" s="18" t="inlineStr">
        <is>
          <t>A12</t>
        </is>
      </c>
      <c r="B15" s="4" t="inlineStr">
        <is>
          <t>New</t>
        </is>
      </c>
      <c r="C15" s="4" t="inlineStr">
        <is>
          <t>Cluster</t>
        </is>
      </c>
      <c r="D15" s="4" t="inlineStr">
        <is>
          <t>Safe prototyping</t>
        </is>
      </c>
      <c r="E15" s="4" t="inlineStr">
        <is>
          <t>Synthetic environments</t>
        </is>
      </c>
      <c r="F15" s="4" t="inlineStr">
        <is>
          <t>Simulating APIs with CSVs, fixtures, and synthetic data when production access is risky</t>
        </is>
      </c>
      <c r="G15" s="4" t="inlineStr">
        <is>
          <t>/ai/simulating-apis-with-csvs-and-synthetic-data</t>
        </is>
      </c>
      <c r="H15" s="4" t="inlineStr">
        <is>
          <t>Tactical guide</t>
        </is>
      </c>
      <c r="I15" s="4" t="inlineStr">
        <is>
          <t>Ad tech operators; analysts; teams with privacy/compliance constraints</t>
        </is>
      </c>
      <c r="J15" s="4" t="inlineStr">
        <is>
          <t>Prototype and test workflows without touching sensitive production systems.</t>
        </is>
      </c>
      <c r="K15" s="4" t="inlineStr">
        <is>
          <t>Workflow discovery / long-tail search</t>
        </is>
      </c>
      <c r="L15" s="4" t="inlineStr">
        <is>
          <t>Informational + workflow</t>
        </is>
      </c>
      <c r="M15" s="4" t="inlineStr">
        <is>
          <t>Practical, high-value content tied to real business constraints and internal approvals.</t>
        </is>
      </c>
      <c r="N15" s="4" t="inlineStr">
        <is>
          <t>Pattern diagram + downloadable fixture templates</t>
        </is>
      </c>
      <c r="O15" s="4" t="inlineStr">
        <is>
          <t>Article; Breadcrumb; Dataset (if downloadable fixtures exist)</t>
        </is>
      </c>
      <c r="P15" s="4" t="inlineStr">
        <is>
          <t>How-to steps; templates; source file index</t>
        </is>
      </c>
      <c r="Q15" s="4" t="inlineStr">
        <is>
          <t>Fixture examples, fake payloads, Apps Script samples, schema examples</t>
        </is>
      </c>
      <c r="R15" s="4" t="inlineStr">
        <is>
          <t>Agentic engineering hub; paid media workflows cluster</t>
        </is>
      </c>
      <c r="S15" s="4" t="inlineStr">
        <is>
          <t>CM360 playbook; pattern library pages</t>
        </is>
      </c>
      <c r="T15" s="4" t="inlineStr">
        <is>
          <t>Index</t>
        </is>
      </c>
      <c r="U15" s="4" t="inlineStr">
        <is>
          <t>P1</t>
        </is>
      </c>
      <c r="V15" s="4" t="inlineStr">
        <is>
          <t>M</t>
        </is>
      </c>
      <c r="W15" s="4" t="inlineStr">
        <is>
          <t>H</t>
        </is>
      </c>
      <c r="X15" s="4" t="inlineStr">
        <is>
          <t>Qualified audience growth and asset downloads</t>
        </is>
      </c>
      <c r="Y15" s="19" t="inlineStr">
        <is>
          <t>https://developers.google.com/search/docs/data-types/dataset ; https://developers.google.com/search/docs/fundamentals/creating-helpful-content</t>
        </is>
      </c>
    </row>
    <row r="16" ht="85.44921875" customHeight="1">
      <c r="A16" s="18" t="inlineStr">
        <is>
          <t>A13</t>
        </is>
      </c>
      <c r="B16" s="4" t="inlineStr">
        <is>
          <t>New</t>
        </is>
      </c>
      <c r="C16" s="4" t="inlineStr">
        <is>
          <t>Cluster</t>
        </is>
      </c>
      <c r="D16" s="4" t="inlineStr">
        <is>
          <t>Automation architecture</t>
        </is>
      </c>
      <c r="E16" s="4" t="inlineStr">
        <is>
          <t>Decision frameworks</t>
        </is>
      </c>
      <c r="F16" s="4" t="inlineStr">
        <is>
          <t>When to use an automation, a tool, or an agent</t>
        </is>
      </c>
      <c r="G16" s="4" t="inlineStr">
        <is>
          <t>/automation/when-to-use-an-automation-tool-or-agent</t>
        </is>
      </c>
      <c r="H16" s="4" t="inlineStr">
        <is>
          <t>Decision guide</t>
        </is>
      </c>
      <c r="I16" s="4" t="inlineStr">
        <is>
          <t>Operators deciding how much autonomy and complexity a workflow needs</t>
        </is>
      </c>
      <c r="J16" s="4" t="inlineStr">
        <is>
          <t>Choose the simplest mechanism that reliably solves the problem.</t>
        </is>
      </c>
      <c r="K16" s="4" t="inlineStr">
        <is>
          <t>Promptless discovery / workflow intent / comparison</t>
        </is>
      </c>
      <c r="L16" s="4" t="inlineStr">
        <is>
          <t>Comparative + workflow</t>
        </is>
      </c>
      <c r="M16" s="4" t="inlineStr">
        <is>
          <t>Good bridge page between AI-curious and systems-minded audiences.</t>
        </is>
      </c>
      <c r="N16" s="4" t="inlineStr">
        <is>
          <t>Interactive decision tree</t>
        </is>
      </c>
      <c r="O16" s="4" t="inlineStr">
        <is>
          <t>Article; Breadcrumb</t>
        </is>
      </c>
      <c r="P16" s="4" t="inlineStr">
        <is>
          <t>Criteria tables; decision logic; examples by workflow</t>
        </is>
      </c>
      <c r="Q16" s="4" t="inlineStr">
        <is>
          <t>Examples across cron/Zapier/n8n/agents/scripts/manual ops</t>
        </is>
      </c>
      <c r="R16" s="4" t="inlineStr">
        <is>
          <t>Automation hub; AI hub</t>
        </is>
      </c>
      <c r="S16" s="4" t="inlineStr">
        <is>
          <t>Automation maturity ladder; tool chooser; playbooks</t>
        </is>
      </c>
      <c r="T16" s="4" t="inlineStr">
        <is>
          <t>Index</t>
        </is>
      </c>
      <c r="U16" s="4" t="inlineStr">
        <is>
          <t>P1</t>
        </is>
      </c>
      <c r="V16" s="4" t="inlineStr">
        <is>
          <t>M</t>
        </is>
      </c>
      <c r="W16" s="4" t="inlineStr">
        <is>
          <t>H</t>
        </is>
      </c>
      <c r="X16" s="4" t="inlineStr">
        <is>
          <t>Multi-page journeys into playbooks and tooling pages</t>
        </is>
      </c>
      <c r="Y16" s="19" t="inlineStr">
        <is>
          <t>https://developers.google.com/search/docs/fundamentals/creating-helpful-content</t>
        </is>
      </c>
    </row>
    <row r="17" ht="102.5390625" customHeight="1">
      <c r="A17" s="18" t="inlineStr">
        <is>
          <t>A14</t>
        </is>
      </c>
      <c r="B17" s="4" t="inlineStr">
        <is>
          <t>New</t>
        </is>
      </c>
      <c r="C17" s="4" t="inlineStr">
        <is>
          <t>Flagship</t>
        </is>
      </c>
      <c r="D17" s="4" t="inlineStr">
        <is>
          <t>AI strategy</t>
        </is>
      </c>
      <c r="E17" s="4" t="inlineStr">
        <is>
          <t>Maturity models</t>
        </is>
      </c>
      <c r="F17" s="4" t="inlineStr">
        <is>
          <t>The AI adoption maturity model for operator teams</t>
        </is>
      </c>
      <c r="G17" s="4" t="inlineStr">
        <is>
          <t>/ai/ai-adoption-maturity-model</t>
        </is>
      </c>
      <c r="H17" s="4" t="inlineStr">
        <is>
          <t>Framework essay</t>
        </is>
      </c>
      <c r="I17" s="4" t="inlineStr">
        <is>
          <t>Leadership + practitioner hybrids</t>
        </is>
      </c>
      <c r="J17" s="4" t="inlineStr">
        <is>
          <t>Benchmark current AI capability and identify the next operational step.</t>
        </is>
      </c>
      <c r="K17" s="4" t="inlineStr">
        <is>
          <t>Strategic discovery / presentation-friendly searches</t>
        </is>
      </c>
      <c r="L17" s="4" t="inlineStr">
        <is>
          <t>Informational + self-assessment</t>
        </is>
      </c>
      <c r="M17" s="4" t="inlineStr">
        <is>
          <t>Strong flagship because it can become a signature visual and reusable reference.</t>
        </is>
      </c>
      <c r="N17" s="4" t="inlineStr">
        <is>
          <t>Interactive maturity diagnostic</t>
        </is>
      </c>
      <c r="O17" s="4" t="inlineStr">
        <is>
          <t>Article; Breadcrumb</t>
        </is>
      </c>
      <c r="P17" s="4" t="inlineStr">
        <is>
          <t>Levels; criteria; stage summaries; self-assessment blocks</t>
        </is>
      </c>
      <c r="Q17" s="4" t="inlineStr">
        <is>
          <t>Field examples of teams at different maturity stages and what changed between stages</t>
        </is>
      </c>
      <c r="R17" s="4" t="inlineStr">
        <is>
          <t>AI-native delivery stack; AI pilots to business value</t>
        </is>
      </c>
      <c r="S17" s="4" t="inlineStr">
        <is>
          <t>Diagnostic tool; orchestration essay; automation ladder</t>
        </is>
      </c>
      <c r="T17" s="4" t="inlineStr">
        <is>
          <t>Index</t>
        </is>
      </c>
      <c r="U17" s="4" t="inlineStr">
        <is>
          <t>P1</t>
        </is>
      </c>
      <c r="V17" s="4" t="inlineStr">
        <is>
          <t>L</t>
        </is>
      </c>
      <c r="W17" s="4" t="inlineStr">
        <is>
          <t>H</t>
        </is>
      </c>
      <c r="X17" s="4" t="inlineStr">
        <is>
          <t>Links, citations, shares, return use of diagnostic</t>
        </is>
      </c>
      <c r="Y17" s="19" t="inlineStr">
        <is>
          <t>https://developers.google.com/search/docs/fundamentals/creating-helpful-content ; https://developers.google.com/search/docs/appearance/structured-data/article</t>
        </is>
      </c>
    </row>
    <row r="18" ht="68.359375" customHeight="1">
      <c r="A18" s="18" t="inlineStr">
        <is>
          <t>A15</t>
        </is>
      </c>
      <c r="B18" s="4" t="inlineStr">
        <is>
          <t>New</t>
        </is>
      </c>
      <c r="C18" s="4" t="inlineStr">
        <is>
          <t>Cluster</t>
        </is>
      </c>
      <c r="D18" s="4" t="inlineStr">
        <is>
          <t>Automation architecture</t>
        </is>
      </c>
      <c r="E18" s="4" t="inlineStr">
        <is>
          <t>Maturity models</t>
        </is>
      </c>
      <c r="F18" s="4" t="inlineStr">
        <is>
          <t>The automation maturity ladder: from no-code triggers to durable background jobs</t>
        </is>
      </c>
      <c r="G18" s="4" t="inlineStr">
        <is>
          <t>/automation/automation-maturity-ladder</t>
        </is>
      </c>
      <c r="H18" s="4" t="inlineStr">
        <is>
          <t>Framework guide</t>
        </is>
      </c>
      <c r="I18" s="4" t="inlineStr">
        <is>
          <t>Ops-heavy teams; marketers; analysts</t>
        </is>
      </c>
      <c r="J18" s="4" t="inlineStr">
        <is>
          <t>Match automation tooling to reliability requirements, error handling, and maintenance burden.</t>
        </is>
      </c>
      <c r="K18" s="4" t="inlineStr">
        <is>
          <t>Need-state discovery / long-tail workflow queries</t>
        </is>
      </c>
      <c r="L18" s="4" t="inlineStr">
        <is>
          <t>Informational + framework</t>
        </is>
      </c>
      <c r="M18" s="4" t="inlineStr">
        <is>
          <t>Differentiates by tying tools to durability, not just ease of setup.</t>
        </is>
      </c>
      <c r="N18" s="4" t="inlineStr">
        <is>
          <t>Decision tree + ladder visual</t>
        </is>
      </c>
      <c r="O18" s="4" t="inlineStr">
        <is>
          <t>Article; Breadcrumb</t>
        </is>
      </c>
      <c r="P18" s="4" t="inlineStr">
        <is>
          <t>Stage criteria; examples; checklist</t>
        </is>
      </c>
      <c r="Q18" s="4" t="inlineStr">
        <is>
          <t>Examples spanning product-native automation, Zapier/n8n, cron, workers, services</t>
        </is>
      </c>
      <c r="R18" s="4" t="inlineStr">
        <is>
          <t>Automation hub; automation vs agent decision page</t>
        </is>
      </c>
      <c r="S18" s="4" t="inlineStr">
        <is>
          <t>Playbooks; glossary; pattern library</t>
        </is>
      </c>
      <c r="T18" s="4" t="inlineStr">
        <is>
          <t>Index</t>
        </is>
      </c>
      <c r="U18" s="4" t="inlineStr">
        <is>
          <t>P2</t>
        </is>
      </c>
      <c r="V18" s="4" t="inlineStr">
        <is>
          <t>M</t>
        </is>
      </c>
      <c r="W18" s="4" t="inlineStr">
        <is>
          <t>M</t>
        </is>
      </c>
      <c r="X18" s="4" t="inlineStr">
        <is>
          <t>Deeper engagement from systems-minded visitors</t>
        </is>
      </c>
      <c r="Y18" s="19" t="inlineStr">
        <is>
          <t>https://developers.google.com/search/docs/fundamentals/creating-helpful-content</t>
        </is>
      </c>
    </row>
    <row r="19" ht="102.5390625" customHeight="1">
      <c r="A19" s="18" t="inlineStr">
        <is>
          <t>A16</t>
        </is>
      </c>
      <c r="B19" s="4" t="inlineStr">
        <is>
          <t>New</t>
        </is>
      </c>
      <c r="C19" s="4" t="inlineStr">
        <is>
          <t>Cluster</t>
        </is>
      </c>
      <c r="D19" s="4" t="inlineStr">
        <is>
          <t>Risk and governance</t>
        </is>
      </c>
      <c r="E19" s="4" t="inlineStr">
        <is>
          <t>Safety</t>
        </is>
      </c>
      <c r="F19" s="4" t="inlineStr">
        <is>
          <t>The real risks of vibe coding: prompt injection, unsafe tool use, and false confidence</t>
        </is>
      </c>
      <c r="G19" s="4" t="inlineStr">
        <is>
          <t>/ai/risks-of-vibe-coding-and-tool-use</t>
        </is>
      </c>
      <c r="H19" s="4" t="inlineStr">
        <is>
          <t>Risk briefing</t>
        </is>
      </c>
      <c r="I19" s="4" t="inlineStr">
        <is>
          <t>Anyone adopting agents or code-generating AI in production-adjacent contexts</t>
        </is>
      </c>
      <c r="J19" s="4" t="inlineStr">
        <is>
          <t>Understand where failures come from and how to reduce them without abandoning useful tools.</t>
        </is>
      </c>
      <c r="K19" s="4" t="inlineStr">
        <is>
          <t>Problem-led discovery / risk-aware searches</t>
        </is>
      </c>
      <c r="L19" s="4" t="inlineStr">
        <is>
          <t>Informational</t>
        </is>
      </c>
      <c r="M19" s="4" t="inlineStr">
        <is>
          <t>Balances enthusiasm with operator-grade safeguards; critical for trust.</t>
        </is>
      </c>
      <c r="N19" s="4" t="inlineStr">
        <is>
          <t>Threat model diagram + checklist</t>
        </is>
      </c>
      <c r="O19" s="4" t="inlineStr">
        <is>
          <t>Article; Breadcrumb</t>
        </is>
      </c>
      <c r="P19" s="4" t="inlineStr">
        <is>
          <t>Mitigation list; review checklists; red flags table</t>
        </is>
      </c>
      <c r="Q19" s="4" t="inlineStr">
        <is>
          <t>Prompt injection examples, RCE risk patterns, approval checkpoints</t>
        </is>
      </c>
      <c r="R19" s="4" t="inlineStr">
        <is>
          <t>Agentic engineering hub; feasibility loop</t>
        </is>
      </c>
      <c r="S19" s="4" t="inlineStr">
        <is>
          <t>When AI output is acceptable; tool-use explainer</t>
        </is>
      </c>
      <c r="T19" s="4" t="inlineStr">
        <is>
          <t>Index</t>
        </is>
      </c>
      <c r="U19" s="4" t="inlineStr">
        <is>
          <t>P1</t>
        </is>
      </c>
      <c r="V19" s="4" t="inlineStr">
        <is>
          <t>M</t>
        </is>
      </c>
      <c r="W19" s="4" t="inlineStr">
        <is>
          <t>H</t>
        </is>
      </c>
      <c r="X19" s="4" t="inlineStr">
        <is>
          <t>Trust and dwell depth; supports commercial credibility</t>
        </is>
      </c>
      <c r="Y19" s="19" t="inlineStr">
        <is>
          <t>https://developers.google.com/search/docs/fundamentals/creating-helpful-content ; https://developers.google.com/search/docs/essentials/spam-policies</t>
        </is>
      </c>
    </row>
    <row r="20" ht="102.5390625" customHeight="1">
      <c r="A20" s="18" t="inlineStr">
        <is>
          <t>A17</t>
        </is>
      </c>
      <c r="B20" s="4" t="inlineStr">
        <is>
          <t>New</t>
        </is>
      </c>
      <c r="C20" s="4" t="inlineStr">
        <is>
          <t>Cluster</t>
        </is>
      </c>
      <c r="D20" s="4" t="inlineStr">
        <is>
          <t>Content governance</t>
        </is>
      </c>
      <c r="E20" s="4" t="inlineStr">
        <is>
          <t>Quality control</t>
        </is>
      </c>
      <c r="F20" s="4" t="inlineStr">
        <is>
          <t>When AI-generated output is acceptable - and when it quietly destroys trust</t>
        </is>
      </c>
      <c r="G20" s="4" t="inlineStr">
        <is>
          <t>/ai/when-ai-generated-output-is-acceptable</t>
        </is>
      </c>
      <c r="H20" s="4" t="inlineStr">
        <is>
          <t>Opinionated guide</t>
        </is>
      </c>
      <c r="I20" s="4" t="inlineStr">
        <is>
          <t>Content owners; marketers; technical teams shipping docs, code, or analysis</t>
        </is>
      </c>
      <c r="J20" s="4" t="inlineStr">
        <is>
          <t>Decide where AI assistance is net-positive and where unverifiable output becomes a liability.</t>
        </is>
      </c>
      <c r="K20" s="4" t="inlineStr">
        <is>
          <t>Problem-led discovery / ethics-governance intent</t>
        </is>
      </c>
      <c r="L20" s="4" t="inlineStr">
        <is>
          <t>Informational + policy</t>
        </is>
      </c>
      <c r="M20" s="4" t="inlineStr">
        <is>
          <t>Differentiates by using verifiability, reversibility, and consequence of error as the evaluation lens.</t>
        </is>
      </c>
      <c r="N20" s="4" t="inlineStr">
        <is>
          <t>Decision matrix</t>
        </is>
      </c>
      <c r="O20" s="4" t="inlineStr">
        <is>
          <t>Article; Breadcrumb</t>
        </is>
      </c>
      <c r="P20" s="4" t="inlineStr">
        <is>
          <t>Criteria table; use-case matrix; explicit policy language</t>
        </is>
      </c>
      <c r="Q20" s="4" t="inlineStr">
        <is>
          <t>Examples across code, analysis, posts, documentation, status updates</t>
        </is>
      </c>
      <c r="R20" s="4" t="inlineStr">
        <is>
          <t>Risks page; AI pilots to business value</t>
        </is>
      </c>
      <c r="S20" s="4" t="inlineStr">
        <is>
          <t>Editorial rules page; prompt teardown library</t>
        </is>
      </c>
      <c r="T20" s="4" t="inlineStr">
        <is>
          <t>Index</t>
        </is>
      </c>
      <c r="U20" s="4" t="inlineStr">
        <is>
          <t>P2</t>
        </is>
      </c>
      <c r="V20" s="4" t="inlineStr">
        <is>
          <t>M</t>
        </is>
      </c>
      <c r="W20" s="4" t="inlineStr">
        <is>
          <t>M</t>
        </is>
      </c>
      <c r="X20" s="4" t="inlineStr">
        <is>
          <t>Trust signals and qualitative brand perception</t>
        </is>
      </c>
      <c r="Y20" s="19" t="inlineStr">
        <is>
          <t>https://developers.google.com/search/docs/fundamentals/creating-helpful-content ; https://developers.google.com/search/docs/essentials/spam-policies</t>
        </is>
      </c>
    </row>
    <row r="21" ht="85.44921875" customHeight="1">
      <c r="A21" s="18" t="inlineStr">
        <is>
          <t>A18</t>
        </is>
      </c>
      <c r="B21" s="4" t="inlineStr">
        <is>
          <t>New</t>
        </is>
      </c>
      <c r="C21" s="4" t="inlineStr">
        <is>
          <t>Cluster</t>
        </is>
      </c>
      <c r="D21" s="4" t="inlineStr">
        <is>
          <t>Reliable AI usage</t>
        </is>
      </c>
      <c r="E21" s="4" t="inlineStr">
        <is>
          <t>Truthfulness</t>
        </is>
      </c>
      <c r="F21" s="4" t="inlineStr">
        <is>
          <t>A simple framework for making LLM outputs more trustworthy: fact, inference, or ambiguity?</t>
        </is>
      </c>
      <c r="G21" s="4" t="inlineStr">
        <is>
          <t>/ai/fact-inference-ambiguity-framework</t>
        </is>
      </c>
      <c r="H21" s="4" t="inlineStr">
        <is>
          <t>Tactical guide</t>
        </is>
      </c>
      <c r="I21" s="4" t="inlineStr">
        <is>
          <t>Analysts, strategists, and anyone using AI for non-trivial knowledge work</t>
        </is>
      </c>
      <c r="J21" s="4" t="inlineStr">
        <is>
          <t>Improve answer quality by forcing the model to classify certainty and unresolved gaps.</t>
        </is>
      </c>
      <c r="K21" s="4" t="inlineStr">
        <is>
          <t>Workflow discovery / query refinement searches</t>
        </is>
      </c>
      <c r="L21" s="4" t="inlineStr">
        <is>
          <t>Informational + workflow</t>
        </is>
      </c>
      <c r="M21" s="4" t="inlineStr">
        <is>
          <t>Very distinctive; turns prompting into epistemic discipline.</t>
        </is>
      </c>
      <c r="N21" s="4" t="inlineStr">
        <is>
          <t>Annotation pattern + reusable prompt block</t>
        </is>
      </c>
      <c r="O21" s="4" t="inlineStr">
        <is>
          <t>Article; Breadcrumb</t>
        </is>
      </c>
      <c r="P21" s="4" t="inlineStr">
        <is>
          <t>Reusable template; examples; classification table</t>
        </is>
      </c>
      <c r="Q21" s="4" t="inlineStr">
        <is>
          <t>Before/after outputs, claim labeling examples</t>
        </is>
      </c>
      <c r="R21" s="4" t="inlineStr">
        <is>
          <t>Why AI + web search wins; feasibility loop</t>
        </is>
      </c>
      <c r="S21" s="4" t="inlineStr">
        <is>
          <t>Prompt teardown library; risks page</t>
        </is>
      </c>
      <c r="T21" s="4" t="inlineStr">
        <is>
          <t>Index</t>
        </is>
      </c>
      <c r="U21" s="4" t="inlineStr">
        <is>
          <t>P1</t>
        </is>
      </c>
      <c r="V21" s="4" t="inlineStr">
        <is>
          <t>S</t>
        </is>
      </c>
      <c r="W21" s="4" t="inlineStr">
        <is>
          <t>M</t>
        </is>
      </c>
      <c r="X21" s="4" t="inlineStr">
        <is>
          <t>Save/share rate and incorporation into user workflows</t>
        </is>
      </c>
      <c r="Y21" s="19" t="inlineStr">
        <is>
          <t>https://developers.google.com/search/docs/fundamentals/creating-helpful-content</t>
        </is>
      </c>
    </row>
    <row r="22" ht="85.44921875" customHeight="1">
      <c r="A22" s="18" t="inlineStr">
        <is>
          <t>A19</t>
        </is>
      </c>
      <c r="B22" s="4" t="inlineStr">
        <is>
          <t>New</t>
        </is>
      </c>
      <c r="C22" s="4" t="inlineStr">
        <is>
          <t>Cluster</t>
        </is>
      </c>
      <c r="D22" s="4" t="inlineStr">
        <is>
          <t>Prompt engineering</t>
        </is>
      </c>
      <c r="E22" s="4" t="inlineStr">
        <is>
          <t>Build prompting</t>
        </is>
      </c>
      <c r="F22" s="4" t="inlineStr">
        <is>
          <t>How to write build prompts that produce working software, not impressive-looking code</t>
        </is>
      </c>
      <c r="G22" s="4" t="inlineStr">
        <is>
          <t>/ai/how-to-write-build-prompts</t>
        </is>
      </c>
      <c r="H22" s="4" t="inlineStr">
        <is>
          <t>Teardown + template</t>
        </is>
      </c>
      <c r="I22" s="4" t="inlineStr">
        <is>
          <t>Operators using AI to generate internal tools or prototypes</t>
        </is>
      </c>
      <c r="J22" s="4" t="inlineStr">
        <is>
          <t>Write prompts that specify objective, constraints, files, setup, and success criteria clearly enough to ship.</t>
        </is>
      </c>
      <c r="K22" s="4" t="inlineStr">
        <is>
          <t>Workflow discovery / prompt-related searches</t>
        </is>
      </c>
      <c r="L22" s="4" t="inlineStr">
        <is>
          <t>Informational + template</t>
        </is>
      </c>
      <c r="M22" s="4" t="inlineStr">
        <is>
          <t>Stronger than generic prompt advice because it is anchored in working software outcomes.</t>
        </is>
      </c>
      <c r="N22" s="4" t="inlineStr">
        <is>
          <t>Prompt anatomy visual + downloadable template</t>
        </is>
      </c>
      <c r="O22" s="4" t="inlineStr">
        <is>
          <t>Article; Breadcrumb</t>
        </is>
      </c>
      <c r="P22" s="4" t="inlineStr">
        <is>
          <t>Annotated prompt blocks; setup checklist; success criteria</t>
        </is>
      </c>
      <c r="Q22" s="4" t="inlineStr">
        <is>
          <t>Use the Apps Script + CM360 example as a live teardown</t>
        </is>
      </c>
      <c r="R22" s="4" t="inlineStr">
        <is>
          <t>Feasibility loop; agentic engineering hub</t>
        </is>
      </c>
      <c r="S22" s="4" t="inlineStr">
        <is>
          <t>Prompt teardown library; CM360 playbook</t>
        </is>
      </c>
      <c r="T22" s="4" t="inlineStr">
        <is>
          <t>Index</t>
        </is>
      </c>
      <c r="U22" s="4" t="inlineStr">
        <is>
          <t>P1</t>
        </is>
      </c>
      <c r="V22" s="4" t="inlineStr">
        <is>
          <t>M</t>
        </is>
      </c>
      <c r="W22" s="4" t="inlineStr">
        <is>
          <t>H</t>
        </is>
      </c>
      <c r="X22" s="4" t="inlineStr">
        <is>
          <t>Entrances from prompt curiosity into higher-value build content</t>
        </is>
      </c>
      <c r="Y22" s="19" t="inlineStr">
        <is>
          <t>https://developers.google.com/search/docs/fundamentals/creating-helpful-content ; https://rajeevg.com/blog/from-ai-pilots-to-business-value</t>
        </is>
      </c>
    </row>
    <row r="23" ht="85.44921875" customHeight="1">
      <c r="A23" s="18" t="inlineStr">
        <is>
          <t>A20</t>
        </is>
      </c>
      <c r="B23" s="4" t="inlineStr">
        <is>
          <t>New</t>
        </is>
      </c>
      <c r="C23" s="4" t="inlineStr">
        <is>
          <t>Cluster</t>
        </is>
      </c>
      <c r="D23" s="4" t="inlineStr">
        <is>
          <t>Ad tech + AI</t>
        </is>
      </c>
      <c r="E23" s="4" t="inlineStr">
        <is>
          <t>Workflow automation</t>
        </is>
      </c>
      <c r="F23" s="4" t="inlineStr">
        <is>
          <t>Using coding agents and Apps Script to automate CM360-style campaign operations</t>
        </is>
      </c>
      <c r="G23" s="4" t="inlineStr">
        <is>
          <t>/ad-tech/coding-agents-for-cm360-workflows</t>
        </is>
      </c>
      <c r="H23" s="4" t="inlineStr">
        <is>
          <t>Case-led tactical guide</t>
        </is>
      </c>
      <c r="I23" s="4" t="inlineStr">
        <is>
          <t>Paid media and ad tech operators</t>
        </is>
      </c>
      <c r="J23" s="4" t="inlineStr">
        <is>
          <t>See what AI-assisted build workflows look like in a domain with messy schemas, approvals, and repetitive setup tasks.</t>
        </is>
      </c>
      <c r="K23" s="4" t="inlineStr">
        <is>
          <t>Commercial-intent adjacent / workflow-specific search</t>
        </is>
      </c>
      <c r="L23" s="4" t="inlineStr">
        <is>
          <t>Informational + workflow</t>
        </is>
      </c>
      <c r="M23" s="4" t="inlineStr">
        <is>
          <t>High-value niche page that blends ad-tech credibility with AI delivery skill.</t>
        </is>
      </c>
      <c r="N23" s="4" t="inlineStr">
        <is>
          <t>Workflow diagram + field mapping table</t>
        </is>
      </c>
      <c r="O23" s="4" t="inlineStr">
        <is>
          <t>Article; Breadcrumb</t>
        </is>
      </c>
      <c r="P23" s="4" t="inlineStr">
        <is>
          <t>Steps; mapping tables; setup notes; caveats</t>
        </is>
      </c>
      <c r="Q23" s="4" t="inlineStr">
        <is>
          <t>Apps Script example, campaign fields, spreadsheet templates, review workflow</t>
        </is>
      </c>
      <c r="R23" s="4" t="inlineStr">
        <is>
          <t>Paid media workflows hub; prompt teardown page</t>
        </is>
      </c>
      <c r="S23" s="4" t="inlineStr">
        <is>
          <t>Playbooks; pattern library; benchmark index</t>
        </is>
      </c>
      <c r="T23" s="4" t="inlineStr">
        <is>
          <t>Index</t>
        </is>
      </c>
      <c r="U23" s="4" t="inlineStr">
        <is>
          <t>P1</t>
        </is>
      </c>
      <c r="V23" s="4" t="inlineStr">
        <is>
          <t>L</t>
        </is>
      </c>
      <c r="W23" s="4" t="inlineStr">
        <is>
          <t>H</t>
        </is>
      </c>
      <c r="X23" s="4" t="inlineStr">
        <is>
          <t>Strong authority with the exact professional audience you want</t>
        </is>
      </c>
      <c r="Y23" s="19" t="inlineStr">
        <is>
          <t>https://developers.google.com/search/docs/fundamentals/creating-helpful-content</t>
        </is>
      </c>
    </row>
    <row r="24" ht="85.44921875" customHeight="1">
      <c r="A24" s="18" t="inlineStr">
        <is>
          <t>A21</t>
        </is>
      </c>
      <c r="B24" s="4" t="inlineStr">
        <is>
          <t>New</t>
        </is>
      </c>
      <c r="C24" s="4" t="inlineStr">
        <is>
          <t>Cluster</t>
        </is>
      </c>
      <c r="D24" s="4" t="inlineStr">
        <is>
          <t>Paid media + AI</t>
        </is>
      </c>
      <c r="E24" s="4" t="inlineStr">
        <is>
          <t>Team workflows</t>
        </is>
      </c>
      <c r="F24" s="4" t="inlineStr">
        <is>
          <t>AI workflow architecture for paid media teams</t>
        </is>
      </c>
      <c r="G24" s="4" t="inlineStr">
        <is>
          <t>/paid-media/ai-workflow-architecture-for-paid-media-teams</t>
        </is>
      </c>
      <c r="H24" s="4" t="inlineStr">
        <is>
          <t>Framework guide</t>
        </is>
      </c>
      <c r="I24" s="4" t="inlineStr">
        <is>
          <t>Paid media leads; performance marketers; analytics-savvy operators</t>
        </is>
      </c>
      <c r="J24" s="4" t="inlineStr">
        <is>
          <t>Map where AI, automation, human review, and measurement fit across campaign workflows.</t>
        </is>
      </c>
      <c r="K24" s="4" t="inlineStr">
        <is>
          <t>Need-state discovery / promptless SEO</t>
        </is>
      </c>
      <c r="L24" s="4" t="inlineStr">
        <is>
          <t>Informational + workflow</t>
        </is>
      </c>
      <c r="M24" s="4" t="inlineStr">
        <is>
          <t>Helps connect the site's AI content to a real business function and purchase-adjacent workflows.</t>
        </is>
      </c>
      <c r="N24" s="4" t="inlineStr">
        <is>
          <t>Workflow operating model map</t>
        </is>
      </c>
      <c r="O24" s="4" t="inlineStr">
        <is>
          <t>Article; Breadcrumb</t>
        </is>
      </c>
      <c r="P24" s="4" t="inlineStr">
        <is>
          <t>Process map; role definitions; decision points</t>
        </is>
      </c>
      <c r="Q24" s="4" t="inlineStr">
        <is>
          <t>Examples across research, QA, trafficking, reporting, anomaly review</t>
        </is>
      </c>
      <c r="R24" s="4" t="inlineStr">
        <is>
          <t>Paid media hub; business value essay</t>
        </is>
      </c>
      <c r="S24" s="4" t="inlineStr">
        <is>
          <t>Playbooks; tool comparison pages; CM360 guide</t>
        </is>
      </c>
      <c r="T24" s="4" t="inlineStr">
        <is>
          <t>Index</t>
        </is>
      </c>
      <c r="U24" s="4" t="inlineStr">
        <is>
          <t>P1</t>
        </is>
      </c>
      <c r="V24" s="4" t="inlineStr">
        <is>
          <t>M</t>
        </is>
      </c>
      <c r="W24" s="4" t="inlineStr">
        <is>
          <t>H</t>
        </is>
      </c>
      <c r="X24" s="4" t="inlineStr">
        <is>
          <t>Audience fit and future lead potential</t>
        </is>
      </c>
      <c r="Y24" s="19" t="inlineStr">
        <is>
          <t>https://developers.google.com/search/docs/fundamentals/creating-helpful-content</t>
        </is>
      </c>
    </row>
    <row r="25" ht="102.5390625" customHeight="1">
      <c r="A25" s="18" t="inlineStr">
        <is>
          <t>A22</t>
        </is>
      </c>
      <c r="B25" s="4" t="inlineStr">
        <is>
          <t>New</t>
        </is>
      </c>
      <c r="C25" s="4" t="inlineStr">
        <is>
          <t>Cluster</t>
        </is>
      </c>
      <c r="D25" s="4" t="inlineStr">
        <is>
          <t>Analytics engineering</t>
        </is>
      </c>
      <c r="E25" s="4" t="inlineStr">
        <is>
          <t>Event design</t>
        </is>
      </c>
      <c r="F25" s="4" t="inlineStr">
        <is>
          <t>Analytics contracts and event schemas: how to make measurement systems survive scale</t>
        </is>
      </c>
      <c r="G25" s="4" t="inlineStr">
        <is>
          <t>/analytics/analytics-contracts-and-event-schemas</t>
        </is>
      </c>
      <c r="H25" s="4" t="inlineStr">
        <is>
          <t>Tactical guide</t>
        </is>
      </c>
      <c r="I25" s="4" t="inlineStr">
        <is>
          <t>Analytics engineers; GTM users; technical product/marketing teams</t>
        </is>
      </c>
      <c r="J25" s="4" t="inlineStr">
        <is>
          <t>Move from ad hoc event naming to a durable analytics contract.</t>
        </is>
      </c>
      <c r="K25" s="4" t="inlineStr">
        <is>
          <t>Problem-led discovery / technical implementation searches</t>
        </is>
      </c>
      <c r="L25" s="4" t="inlineStr">
        <is>
          <t>Informational + workflow</t>
        </is>
      </c>
      <c r="M25" s="4" t="inlineStr">
        <is>
          <t>Deeply aligned with your existing site work and scarce in quality.</t>
        </is>
      </c>
      <c r="N25" s="4" t="inlineStr">
        <is>
          <t>Schema map + event contract template</t>
        </is>
      </c>
      <c r="O25" s="4" t="inlineStr">
        <is>
          <t>Article; Breadcrumb; Dataset (if schema template downloadable)</t>
        </is>
      </c>
      <c r="P25" s="4" t="inlineStr">
        <is>
          <t>Definitions; naming rules; sample contract; QA checklist</t>
        </is>
      </c>
      <c r="Q25" s="4" t="inlineStr">
        <is>
          <t>Real dataLayer contract patterns and downstream reporting implications</t>
        </is>
      </c>
      <c r="R25" s="4" t="inlineStr">
        <is>
          <t>Modern measurement stack; analytics case study</t>
        </is>
      </c>
      <c r="S25" s="4" t="inlineStr">
        <is>
          <t>Architecture map; site analytics project page</t>
        </is>
      </c>
      <c r="T25" s="4" t="inlineStr">
        <is>
          <t>Index</t>
        </is>
      </c>
      <c r="U25" s="4" t="inlineStr">
        <is>
          <t>P1</t>
        </is>
      </c>
      <c r="V25" s="4" t="inlineStr">
        <is>
          <t>M</t>
        </is>
      </c>
      <c r="W25" s="4" t="inlineStr">
        <is>
          <t>H</t>
        </is>
      </c>
      <c r="X25" s="4" t="inlineStr">
        <is>
          <t>Authority in technical analytics niche; downloads of templates</t>
        </is>
      </c>
      <c r="Y25" s="19" t="inlineStr">
        <is>
          <t>https://rajeevg.com/blog/how-we-built-a-consented-first-party-analytics-stack ; https://developers.google.com/search/docs/data-types/dataset</t>
        </is>
      </c>
    </row>
    <row r="26" ht="102.5390625" customHeight="1">
      <c r="A26" s="18" t="inlineStr">
        <is>
          <t>A23</t>
        </is>
      </c>
      <c r="B26" s="4" t="inlineStr">
        <is>
          <t>Existing</t>
        </is>
      </c>
      <c r="C26" s="4" t="inlineStr">
        <is>
          <t>Proof / case study</t>
        </is>
      </c>
      <c r="D26" s="4" t="inlineStr">
        <is>
          <t>Analytics engineering</t>
        </is>
      </c>
      <c r="E26" s="4" t="inlineStr">
        <is>
          <t>Measurement implementation</t>
        </is>
      </c>
      <c r="F26" s="4" t="inlineStr">
        <is>
          <t>How We Built a Consented First-Party Analytics Stack on rajeevg.com</t>
        </is>
      </c>
      <c r="G26" s="4" t="inlineStr">
        <is>
          <t>/blog/how-we-built-a-consented-first-party-analytics-stack</t>
        </is>
      </c>
      <c r="H26" s="4" t="inlineStr">
        <is>
          <t>Case study</t>
        </is>
      </c>
      <c r="I26" s="4" t="inlineStr">
        <is>
          <t>Technical marketers; analytics engineers; credibility-seeking readers</t>
        </is>
      </c>
      <c r="J26" s="4" t="inlineStr">
        <is>
          <t>Verify that you have actually shipped the types of systems you recommend.</t>
        </is>
      </c>
      <c r="K26" s="4" t="inlineStr">
        <is>
          <t>Branded search / proof-driven navigation</t>
        </is>
      </c>
      <c r="L26" s="4" t="inlineStr">
        <is>
          <t>Informational</t>
        </is>
      </c>
      <c r="M26" s="4" t="inlineStr">
        <is>
          <t>A crucial proof asset; should be heavily linked from strategy pages.</t>
        </is>
      </c>
      <c r="N26" s="4" t="inlineStr">
        <is>
          <t>Architecture diagram + evidence gallery</t>
        </is>
      </c>
      <c r="O26" s="4" t="inlineStr">
        <is>
          <t>Article; Breadcrumb; ProfilePage</t>
        </is>
      </c>
      <c r="P26" s="4" t="inlineStr">
        <is>
          <t>Explicit architecture sections; screenshots; implementation proof</t>
        </is>
      </c>
      <c r="Q26" s="4" t="inlineStr">
        <is>
          <t>Live GTM / sGTM / GA4 / BigQuery / Looker screenshots and code snippets</t>
        </is>
      </c>
      <c r="R26" s="4" t="inlineStr">
        <is>
          <t>Analytics hub; Projects</t>
        </is>
      </c>
      <c r="S26" s="4" t="inlineStr">
        <is>
          <t>Modern measurement stack; analytics contracts page; architecture map</t>
        </is>
      </c>
      <c r="T26" s="4" t="inlineStr">
        <is>
          <t>Index</t>
        </is>
      </c>
      <c r="U26" s="4" t="inlineStr">
        <is>
          <t>P1</t>
        </is>
      </c>
      <c r="V26" s="4" t="inlineStr">
        <is>
          <t>S</t>
        </is>
      </c>
      <c r="W26" s="4" t="inlineStr">
        <is>
          <t>H</t>
        </is>
      </c>
      <c r="X26" s="4" t="inlineStr">
        <is>
          <t>Trust transfer to all analytics and AI strategy content</t>
        </is>
      </c>
      <c r="Y26" s="19" t="inlineStr">
        <is>
          <t>https://rajeevg.com/blog/how-we-built-a-consented-first-party-analytics-stack ; https://rajeevg.com/projects/site-analytics</t>
        </is>
      </c>
    </row>
    <row r="27" ht="68.359375" customHeight="1">
      <c r="A27" s="18" t="inlineStr">
        <is>
          <t>A24</t>
        </is>
      </c>
      <c r="B27" s="4" t="inlineStr">
        <is>
          <t>Existing -&gt; tighten</t>
        </is>
      </c>
      <c r="C27" s="4" t="inlineStr">
        <is>
          <t>Proof / case study</t>
        </is>
      </c>
      <c r="D27" s="4" t="inlineStr">
        <is>
          <t>Product + analytics</t>
        </is>
      </c>
      <c r="E27" s="4" t="inlineStr">
        <is>
          <t>Prototype delivery</t>
        </is>
      </c>
      <c r="F27" s="4" t="inlineStr">
        <is>
          <t>How We Built the Hackathon Voting App</t>
        </is>
      </c>
      <c r="G27" s="4" t="inlineStr">
        <is>
          <t>/blog/how-we-built-the-hackathon-voting-app</t>
        </is>
      </c>
      <c r="H27" s="4" t="inlineStr">
        <is>
          <t>Case study</t>
        </is>
      </c>
      <c r="I27" s="4" t="inlineStr">
        <is>
          <t>Builders; product-minded operators</t>
        </is>
      </c>
      <c r="J27" s="4" t="inlineStr">
        <is>
          <t>Show how prototype delivery, instrumentation, and iteration work in practice.</t>
        </is>
      </c>
      <c r="K27" s="4" t="inlineStr">
        <is>
          <t>Branded / social / proof-driven</t>
        </is>
      </c>
      <c r="L27" s="4" t="inlineStr">
        <is>
          <t>Informational</t>
        </is>
      </c>
      <c r="M27" s="4" t="inlineStr">
        <is>
          <t>Useful proof page; should link into orchestrator and agentic engineering narratives.</t>
        </is>
      </c>
      <c r="N27" s="4" t="inlineStr">
        <is>
          <t>System diagram + launch timeline</t>
        </is>
      </c>
      <c r="O27" s="4" t="inlineStr">
        <is>
          <t>Article; Breadcrumb; ProfilePage</t>
        </is>
      </c>
      <c r="P27" s="4" t="inlineStr">
        <is>
          <t>Timeline blocks; architecture sections; lessons learned</t>
        </is>
      </c>
      <c r="Q27" s="4" t="inlineStr">
        <is>
          <t>Screenshots, build notes, metrics, tradeoff commentary</t>
        </is>
      </c>
      <c r="R27" s="4" t="inlineStr">
        <is>
          <t>Projects; orchestrator essay</t>
        </is>
      </c>
      <c r="S27" s="4" t="inlineStr">
        <is>
          <t>Benchmark index; prompt teardown library</t>
        </is>
      </c>
      <c r="T27" s="4" t="inlineStr">
        <is>
          <t>Index</t>
        </is>
      </c>
      <c r="U27" s="4" t="inlineStr">
        <is>
          <t>P2</t>
        </is>
      </c>
      <c r="V27" s="4" t="inlineStr">
        <is>
          <t>S</t>
        </is>
      </c>
      <c r="W27" s="4" t="inlineStr">
        <is>
          <t>M</t>
        </is>
      </c>
      <c r="X27" s="4" t="inlineStr">
        <is>
          <t>Trust and portfolio depth</t>
        </is>
      </c>
      <c r="Y27" s="19" t="inlineStr">
        <is>
          <t>https://rajeevg.com/blog/how-we-built-the-hackathon-voting-app ; https://rajeevg.com</t>
        </is>
      </c>
    </row>
    <row r="28" ht="102.5390625" customHeight="1">
      <c r="A28" s="18" t="inlineStr">
        <is>
          <t>A25</t>
        </is>
      </c>
      <c r="B28" s="4" t="inlineStr">
        <is>
          <t>Existing -&gt; expand</t>
        </is>
      </c>
      <c r="C28" s="4" t="inlineStr">
        <is>
          <t>Proof / project</t>
        </is>
      </c>
      <c r="D28" s="4" t="inlineStr">
        <is>
          <t>Analytics engineering</t>
        </is>
      </c>
      <c r="E28" s="4" t="inlineStr">
        <is>
          <t>Portfolio proof</t>
        </is>
      </c>
      <c r="F28" s="4" t="inlineStr">
        <is>
          <t>Site analytics project page</t>
        </is>
      </c>
      <c r="G28" s="4" t="inlineStr">
        <is>
          <t>/projects/site-analytics</t>
        </is>
      </c>
      <c r="H28" s="4" t="inlineStr">
        <is>
          <t>Project page</t>
        </is>
      </c>
      <c r="I28" s="4" t="inlineStr">
        <is>
          <t>Visitors evaluating your practical delivery experience</t>
        </is>
      </c>
      <c r="J28" s="4" t="inlineStr">
        <is>
          <t>See the stack, scope, and results of the site analytics implementation quickly.</t>
        </is>
      </c>
      <c r="K28" s="4" t="inlineStr">
        <is>
          <t>Navigational / proof-driven</t>
        </is>
      </c>
      <c r="L28" s="4" t="inlineStr">
        <is>
          <t>Navigational + informational</t>
        </is>
      </c>
      <c r="M28" s="4" t="inlineStr">
        <is>
          <t>A compact proof surface that should feed deeper case studies and service credibility later.</t>
        </is>
      </c>
      <c r="N28" s="4" t="inlineStr">
        <is>
          <t>Stack summary graphic</t>
        </is>
      </c>
      <c r="O28" s="4" t="inlineStr">
        <is>
          <t>Breadcrumb; ProfilePage</t>
        </is>
      </c>
      <c r="P28" s="4" t="inlineStr">
        <is>
          <t>Bullet specs; linked artifacts; project metadata</t>
        </is>
      </c>
      <c r="Q28" s="4" t="inlineStr">
        <is>
          <t>Project scope, stack, dates, outcomes, related content</t>
        </is>
      </c>
      <c r="R28" s="4" t="inlineStr">
        <is>
          <t>Projects; About</t>
        </is>
      </c>
      <c r="S28" s="4" t="inlineStr">
        <is>
          <t>Consented analytics stack case study; modern measurement stack</t>
        </is>
      </c>
      <c r="T28" s="4" t="inlineStr">
        <is>
          <t>Index</t>
        </is>
      </c>
      <c r="U28" s="4" t="inlineStr">
        <is>
          <t>P2</t>
        </is>
      </c>
      <c r="V28" s="4" t="inlineStr">
        <is>
          <t>S</t>
        </is>
      </c>
      <c r="W28" s="4" t="inlineStr">
        <is>
          <t>M</t>
        </is>
      </c>
      <c r="X28" s="4" t="inlineStr">
        <is>
          <t>Assisted conversion and portfolio navigation</t>
        </is>
      </c>
      <c r="Y28" s="19" t="inlineStr">
        <is>
          <t>https://rajeevg.com/projects/site-analytics ; https://developers.google.com/search/docs/appearance/structured-data/profile-page</t>
        </is>
      </c>
    </row>
    <row r="29" ht="102.5390625" customHeight="1">
      <c r="A29" s="18" t="inlineStr">
        <is>
          <t>A26</t>
        </is>
      </c>
      <c r="B29" s="4" t="inlineStr">
        <is>
          <t>New</t>
        </is>
      </c>
      <c r="C29" s="4" t="inlineStr">
        <is>
          <t>Interactive</t>
        </is>
      </c>
      <c r="D29" s="4" t="inlineStr">
        <is>
          <t>Agentic engineering</t>
        </is>
      </c>
      <c r="E29" s="4" t="inlineStr">
        <is>
          <t>Visual learning asset</t>
        </is>
      </c>
      <c r="F29" s="4" t="inlineStr">
        <is>
          <t>Agent stack architecture explorer</t>
        </is>
      </c>
      <c r="G29" s="4" t="inlineStr">
        <is>
          <t>/interactive/agent-stack-architecture-explorer</t>
        </is>
      </c>
      <c r="H29" s="4" t="inlineStr">
        <is>
          <t>Interactive diagram</t>
        </is>
      </c>
      <c r="I29" s="4" t="inlineStr">
        <is>
          <t>Builders and evaluators comparing approaches</t>
        </is>
      </c>
      <c r="J29" s="4" t="inlineStr">
        <is>
          <t>Understand how prompts, tools, docs, routing, memory, and validation layers fit together.</t>
        </is>
      </c>
      <c r="K29" s="4" t="inlineStr">
        <is>
          <t>Visual discovery / internal progression / AI search citations</t>
        </is>
      </c>
      <c r="L29" s="4" t="inlineStr">
        <is>
          <t>Educational + exploratory</t>
        </is>
      </c>
      <c r="M29" s="4" t="inlineStr">
        <is>
          <t>Memorable, hard-to-copy asset that reinforces multiple essays.</t>
        </is>
      </c>
      <c r="N29" s="4" t="inlineStr">
        <is>
          <t>Interactive layered diagram</t>
        </is>
      </c>
      <c r="O29" s="4" t="inlineStr">
        <is>
          <t>Breadcrumb; potentially VideoObject if accompanied by narrated walkthrough</t>
        </is>
      </c>
      <c r="P29" s="4" t="inlineStr">
        <is>
          <t>Node definitions; downloadable JSON spec; static text fallback</t>
        </is>
      </c>
      <c r="Q29" s="4" t="inlineStr">
        <is>
          <t>Entities: agent, tool map, workflow doc, readiness state, verifier, human checkpoint</t>
        </is>
      </c>
      <c r="R29" s="4" t="inlineStr">
        <is>
          <t>Agentic engineering hub; agents.md page</t>
        </is>
      </c>
      <c r="S29" s="4" t="inlineStr">
        <is>
          <t>Risks page; tool-use explainer; glossary entities</t>
        </is>
      </c>
      <c r="T29" s="4" t="inlineStr">
        <is>
          <t>Index</t>
        </is>
      </c>
      <c r="U29" s="4" t="inlineStr">
        <is>
          <t>P1</t>
        </is>
      </c>
      <c r="V29" s="4" t="inlineStr">
        <is>
          <t>L</t>
        </is>
      </c>
      <c r="W29" s="4" t="inlineStr">
        <is>
          <t>H</t>
        </is>
      </c>
      <c r="X29" s="4" t="inlineStr">
        <is>
          <t>Retention, shares, backlinks, multi-page journeys</t>
        </is>
      </c>
      <c r="Y29" s="19" t="inlineStr">
        <is>
          <t>https://developers.google.com/search/docs/appearance/structured-data/video ; https://developers.google.com/search/docs/appearance/structured-data/breadcrumb</t>
        </is>
      </c>
    </row>
    <row r="30" ht="119.62890625" customHeight="1">
      <c r="A30" s="18" t="inlineStr">
        <is>
          <t>A27</t>
        </is>
      </c>
      <c r="B30" s="4" t="inlineStr">
        <is>
          <t>New</t>
        </is>
      </c>
      <c r="C30" s="4" t="inlineStr">
        <is>
          <t>Interactive</t>
        </is>
      </c>
      <c r="D30" s="4" t="inlineStr">
        <is>
          <t>Automation architecture</t>
        </is>
      </c>
      <c r="E30" s="4" t="inlineStr">
        <is>
          <t>Decision support</t>
        </is>
      </c>
      <c r="F30" s="4" t="inlineStr">
        <is>
          <t>Automation vs agent decision tree</t>
        </is>
      </c>
      <c r="G30" s="4" t="inlineStr">
        <is>
          <t>/interactive/automation-vs-agent-decision-tree</t>
        </is>
      </c>
      <c r="H30" s="4" t="inlineStr">
        <is>
          <t>Interactive decision tool</t>
        </is>
      </c>
      <c r="I30" s="4" t="inlineStr">
        <is>
          <t>Operators deciding how to implement a workflow</t>
        </is>
      </c>
      <c r="J30" s="4" t="inlineStr">
        <is>
          <t>Answer 'what should I use here?' faster than a long article can.</t>
        </is>
      </c>
      <c r="K30" s="4" t="inlineStr">
        <is>
          <t>Promptless discovery / internal tool-like use</t>
        </is>
      </c>
      <c r="L30" s="4" t="inlineStr">
        <is>
          <t>Decision support</t>
        </is>
      </c>
      <c r="M30" s="4" t="inlineStr">
        <is>
          <t>Turns conceptual content into a reusable utility.</t>
        </is>
      </c>
      <c r="N30" s="4" t="inlineStr">
        <is>
          <t>Decision tree</t>
        </is>
      </c>
      <c r="O30" s="4" t="inlineStr">
        <is>
          <t>Breadcrumb; SoftwareApplication only if functionality is app-like enough</t>
        </is>
      </c>
      <c r="P30" s="4" t="inlineStr">
        <is>
          <t>Question flow; criteria labels; recommendation outputs; static Q&amp;A fallback</t>
        </is>
      </c>
      <c r="Q30" s="4" t="inlineStr">
        <is>
          <t>Inputs around repetitiveness, ambiguity, approvals, latency, error tolerance, maintenance</t>
        </is>
      </c>
      <c r="R30" s="4" t="inlineStr">
        <is>
          <t>Automation vs agent guide; automation ladder</t>
        </is>
      </c>
      <c r="S30" s="4" t="inlineStr">
        <is>
          <t>Playbooks; comparison pages; glossary</t>
        </is>
      </c>
      <c r="T30" s="4" t="inlineStr">
        <is>
          <t>Index</t>
        </is>
      </c>
      <c r="U30" s="4" t="inlineStr">
        <is>
          <t>P1</t>
        </is>
      </c>
      <c r="V30" s="4" t="inlineStr">
        <is>
          <t>M</t>
        </is>
      </c>
      <c r="W30" s="4" t="inlineStr">
        <is>
          <t>H</t>
        </is>
      </c>
      <c r="X30" s="4" t="inlineStr">
        <is>
          <t>Return use, assisted journeys, branded memorability</t>
        </is>
      </c>
      <c r="Y30" s="19" t="inlineStr">
        <is>
          <t>https://developers.google.com/search/docs/appearance/structured-data/software-app ; https://developers.google.com/search/docs/appearance/structured-data/breadcrumb</t>
        </is>
      </c>
    </row>
    <row r="31" ht="119.62890625" customHeight="1">
      <c r="A31" s="18" t="inlineStr">
        <is>
          <t>A28</t>
        </is>
      </c>
      <c r="B31" s="4" t="inlineStr">
        <is>
          <t>New</t>
        </is>
      </c>
      <c r="C31" s="4" t="inlineStr">
        <is>
          <t>Interactive</t>
        </is>
      </c>
      <c r="D31" s="4" t="inlineStr">
        <is>
          <t>LLM operations</t>
        </is>
      </c>
      <c r="E31" s="4" t="inlineStr">
        <is>
          <t>Estimator</t>
        </is>
      </c>
      <c r="F31" s="4" t="inlineStr">
        <is>
          <t>Context window budget calculator</t>
        </is>
      </c>
      <c r="G31" s="4" t="inlineStr">
        <is>
          <t>/interactive/context-window-budget-calculator</t>
        </is>
      </c>
      <c r="H31" s="4" t="inlineStr">
        <is>
          <t>Calculator</t>
        </is>
      </c>
      <c r="I31" s="4" t="inlineStr">
        <is>
          <t>Advanced AI users trying to scope tasks and prompts better</t>
        </is>
      </c>
      <c r="J31" s="4" t="inlineStr">
        <is>
          <t>Estimate whether a task fits a model/context strategy before wasting time or money.</t>
        </is>
      </c>
      <c r="K31" s="4" t="inlineStr">
        <is>
          <t>Problem-led discovery / utility-led revisit</t>
        </is>
      </c>
      <c r="L31" s="4" t="inlineStr">
        <is>
          <t>Utility</t>
        </is>
      </c>
      <c r="M31" s="4" t="inlineStr">
        <is>
          <t>High-value because it converts abstract token talk into a planning tool.</t>
        </is>
      </c>
      <c r="N31" s="4" t="inlineStr">
        <is>
          <t>Calculator</t>
        </is>
      </c>
      <c r="O31" s="4" t="inlineStr">
        <is>
          <t>Breadcrumb; SoftwareApplication</t>
        </is>
      </c>
      <c r="P31" s="4" t="inlineStr">
        <is>
          <t>Inputs, formulas, examples, static explanation fallback</t>
        </is>
      </c>
      <c r="Q31" s="4" t="inlineStr">
        <is>
          <t>Prompt length assumptions, file sizes, chunk count, system overhead, safety margin</t>
        </is>
      </c>
      <c r="R31" s="4" t="inlineStr">
        <is>
          <t>Tokens/context guide; context brokers page</t>
        </is>
      </c>
      <c r="S31" s="4" t="inlineStr">
        <is>
          <t>Prompt teardown pages; glossary</t>
        </is>
      </c>
      <c r="T31" s="4" t="inlineStr">
        <is>
          <t>Index</t>
        </is>
      </c>
      <c r="U31" s="4" t="inlineStr">
        <is>
          <t>P1</t>
        </is>
      </c>
      <c r="V31" s="4" t="inlineStr">
        <is>
          <t>M</t>
        </is>
      </c>
      <c r="W31" s="4" t="inlineStr">
        <is>
          <t>H</t>
        </is>
      </c>
      <c r="X31" s="4" t="inlineStr">
        <is>
          <t>Repeat visits and deep engagement from qualified technical audiences</t>
        </is>
      </c>
      <c r="Y31" s="19" t="inlineStr">
        <is>
          <t>https://developers.google.com/search/docs/appearance/structured-data/software-app ; https://developers.google.com/search/docs/appearance/structured-data/breadcrumb</t>
        </is>
      </c>
    </row>
    <row r="32" ht="85.44921875" customHeight="1">
      <c r="A32" s="18" t="inlineStr">
        <is>
          <t>A29</t>
        </is>
      </c>
      <c r="B32" s="4" t="inlineStr">
        <is>
          <t>New</t>
        </is>
      </c>
      <c r="C32" s="4" t="inlineStr">
        <is>
          <t>Interactive</t>
        </is>
      </c>
      <c r="D32" s="4" t="inlineStr">
        <is>
          <t>AI strategy</t>
        </is>
      </c>
      <c r="E32" s="4" t="inlineStr">
        <is>
          <t>Assessment</t>
        </is>
      </c>
      <c r="F32" s="4" t="inlineStr">
        <is>
          <t>AI maturity self-assessment diagnostic</t>
        </is>
      </c>
      <c r="G32" s="4" t="inlineStr">
        <is>
          <t>/interactive/ai-maturity-self-assessment</t>
        </is>
      </c>
      <c r="H32" s="4" t="inlineStr">
        <is>
          <t>Diagnostic tool</t>
        </is>
      </c>
      <c r="I32" s="4" t="inlineStr">
        <is>
          <t>Leaders and operators benchmarking team maturity</t>
        </is>
      </c>
      <c r="J32" s="4" t="inlineStr">
        <is>
          <t>See current maturity stage and the next operational upgrade to pursue.</t>
        </is>
      </c>
      <c r="K32" s="4" t="inlineStr">
        <is>
          <t>Strategic discovery / sharing / internal workshops</t>
        </is>
      </c>
      <c r="L32" s="4" t="inlineStr">
        <is>
          <t>Diagnostic</t>
        </is>
      </c>
      <c r="M32" s="4" t="inlineStr">
        <is>
          <t>Compounds the flagship maturity essay into a reusable assessment asset.</t>
        </is>
      </c>
      <c r="N32" s="4" t="inlineStr">
        <is>
          <t>Scored diagnostic</t>
        </is>
      </c>
      <c r="O32" s="4" t="inlineStr">
        <is>
          <t>Breadcrumb; SoftwareApplication</t>
        </is>
      </c>
      <c r="P32" s="4" t="inlineStr">
        <is>
          <t>Question blocks; stage scoring; recommendation modules; static worksheet fallback</t>
        </is>
      </c>
      <c r="Q32" s="4" t="inlineStr">
        <is>
          <t>Criteria around workflows, toolchain breadth, governance, proof of value, automation depth</t>
        </is>
      </c>
      <c r="R32" s="4" t="inlineStr">
        <is>
          <t>AI maturity model; AI-native delivery stack</t>
        </is>
      </c>
      <c r="S32" s="4" t="inlineStr">
        <is>
          <t>Business value essay; roadmap pages</t>
        </is>
      </c>
      <c r="T32" s="4" t="inlineStr">
        <is>
          <t>Index</t>
        </is>
      </c>
      <c r="U32" s="4" t="inlineStr">
        <is>
          <t>P2</t>
        </is>
      </c>
      <c r="V32" s="4" t="inlineStr">
        <is>
          <t>L</t>
        </is>
      </c>
      <c r="W32" s="4" t="inlineStr">
        <is>
          <t>H</t>
        </is>
      </c>
      <c r="X32" s="4" t="inlineStr">
        <is>
          <t>High return visitation and future lead capture</t>
        </is>
      </c>
      <c r="Y32" s="19" t="inlineStr">
        <is>
          <t>https://developers.google.com/search/docs/appearance/structured-data/software-app</t>
        </is>
      </c>
    </row>
    <row r="33" ht="119.62890625" customHeight="1">
      <c r="A33" s="18" t="inlineStr">
        <is>
          <t>A30</t>
        </is>
      </c>
      <c r="B33" s="4" t="inlineStr">
        <is>
          <t>New</t>
        </is>
      </c>
      <c r="C33" s="4" t="inlineStr">
        <is>
          <t>Interactive</t>
        </is>
      </c>
      <c r="D33" s="4" t="inlineStr">
        <is>
          <t>Comparisons</t>
        </is>
      </c>
      <c r="E33" s="4" t="inlineStr">
        <is>
          <t>Tool selection</t>
        </is>
      </c>
      <c r="F33" s="4" t="inlineStr">
        <is>
          <t>Workflow stack comparison explorer (Bolt vs Replit vs coding agents vs orchestration-first stacks)</t>
        </is>
      </c>
      <c r="G33" s="4" t="inlineStr">
        <is>
          <t>/interactive/workflow-stack-comparison-explorer</t>
        </is>
      </c>
      <c r="H33" s="4" t="inlineStr">
        <is>
          <t>Explorable comparison</t>
        </is>
      </c>
      <c r="I33" s="4" t="inlineStr">
        <is>
          <t>Builders and buyers evaluating approaches</t>
        </is>
      </c>
      <c r="J33" s="4" t="inlineStr">
        <is>
          <t>Compare approaches by task type, control, risk, speed, and maintainability.</t>
        </is>
      </c>
      <c r="K33" s="4" t="inlineStr">
        <is>
          <t>Comparative discovery / bottom-up evaluation</t>
        </is>
      </c>
      <c r="L33" s="4" t="inlineStr">
        <is>
          <t>Comparative</t>
        </is>
      </c>
      <c r="M33" s="4" t="inlineStr">
        <is>
          <t>A richer alternative to thin 'X vs Y' pages because the comparison is workflow-aware.</t>
        </is>
      </c>
      <c r="N33" s="4" t="inlineStr">
        <is>
          <t>Filterable comparison table</t>
        </is>
      </c>
      <c r="O33" s="4" t="inlineStr">
        <is>
          <t>Breadcrumb; SoftwareApplication if sufficiently app-like</t>
        </is>
      </c>
      <c r="P33" s="4" t="inlineStr">
        <is>
          <t>Entity cards; criteria matrix; static comparison summaries</t>
        </is>
      </c>
      <c r="Q33" s="4" t="inlineStr">
        <is>
          <t>Tool attributes, workflow fit, risk profile, evidence notes</t>
        </is>
      </c>
      <c r="R33" s="4" t="inlineStr">
        <is>
          <t>From vibe coding to agentic engineering</t>
        </is>
      </c>
      <c r="S33" s="4" t="inlineStr">
        <is>
          <t>Comparison pages; playbooks; glossary entities</t>
        </is>
      </c>
      <c r="T33" s="4" t="inlineStr">
        <is>
          <t>Index</t>
        </is>
      </c>
      <c r="U33" s="4" t="inlineStr">
        <is>
          <t>P1</t>
        </is>
      </c>
      <c r="V33" s="4" t="inlineStr">
        <is>
          <t>L</t>
        </is>
      </c>
      <c r="W33" s="4" t="inlineStr">
        <is>
          <t>H</t>
        </is>
      </c>
      <c r="X33" s="4" t="inlineStr">
        <is>
          <t>Useful entry point for both search and internal navigation</t>
        </is>
      </c>
      <c r="Y33" s="19" t="inlineStr">
        <is>
          <t>https://developers.google.com/search/docs/appearance/structured-data/software-app ; https://developers.google.com/search/docs/fundamentals/creating-helpful-content</t>
        </is>
      </c>
    </row>
    <row r="34" ht="119.62890625" customHeight="1">
      <c r="A34" s="18" t="inlineStr">
        <is>
          <t>A31</t>
        </is>
      </c>
      <c r="B34" s="4" t="inlineStr">
        <is>
          <t>New</t>
        </is>
      </c>
      <c r="C34" s="4" t="inlineStr">
        <is>
          <t>Scalable template</t>
        </is>
      </c>
      <c r="D34" s="4" t="inlineStr">
        <is>
          <t>Selective programmatic SEO</t>
        </is>
      </c>
      <c r="E34" s="4" t="inlineStr">
        <is>
          <t>Comparisons</t>
        </is>
      </c>
      <c r="F34" s="4" t="inlineStr">
        <is>
          <t>Workflow-aware AI tool comparison pages</t>
        </is>
      </c>
      <c r="G34" s="4" t="inlineStr">
        <is>
          <t>/compare/{tool-a}-vs-{tool-b}-for-{workflow}</t>
        </is>
      </c>
      <c r="H34" s="4" t="inlineStr">
        <is>
          <t>Comparison page</t>
        </is>
      </c>
      <c r="I34" s="4" t="inlineStr">
        <is>
          <t>Users comparing options for a real job, not just brand-versus-brand curiosity</t>
        </is>
      </c>
      <c r="J34" s="4" t="inlineStr">
        <is>
          <t>Choose a stack for a defined workflow such as prototyping, spreadsheet automation, or research-heavy analysis.</t>
        </is>
      </c>
      <c r="K34" s="4" t="inlineStr">
        <is>
          <t>Comparative search + AI search entity matching</t>
        </is>
      </c>
      <c r="L34" s="4" t="inlineStr">
        <is>
          <t>Comparative</t>
        </is>
      </c>
      <c r="M34" s="4" t="inlineStr">
        <is>
          <t>Valid only if each page includes workflow fit, evidence, limitations, and recommended use cases - not just feature tables.</t>
        </is>
      </c>
      <c r="N34" s="4" t="inlineStr">
        <is>
          <t>Structured comparison module</t>
        </is>
      </c>
      <c r="O34" s="4" t="inlineStr">
        <is>
          <t>Article; Breadcrumb</t>
        </is>
      </c>
      <c r="P34" s="4" t="inlineStr">
        <is>
          <t>Comparison table; decision summary; criteria blocks</t>
        </is>
      </c>
      <c r="Q34" s="4" t="inlineStr">
        <is>
          <t>Normalized data model for tool, workflow, constraints, evidence notes, risks, alternatives</t>
        </is>
      </c>
      <c r="R34" s="4" t="inlineStr">
        <is>
          <t>Comparison explorer; tool chooser</t>
        </is>
      </c>
      <c r="S34" s="4" t="inlineStr">
        <is>
          <t>Flagship comparisons; playbooks; glossary</t>
        </is>
      </c>
      <c r="T34" s="4" t="inlineStr">
        <is>
          <t>Index only curated pages; noindex thin or low-delta combinations</t>
        </is>
      </c>
      <c r="U34" s="4" t="inlineStr">
        <is>
          <t>P2</t>
        </is>
      </c>
      <c r="V34" s="4" t="inlineStr">
        <is>
          <t>L</t>
        </is>
      </c>
      <c r="W34" s="4" t="inlineStr">
        <is>
          <t>H</t>
        </is>
      </c>
      <c r="X34" s="4" t="inlineStr">
        <is>
          <t>Targeted query coverage without spammy scale</t>
        </is>
      </c>
      <c r="Y34" s="19" t="inlineStr">
        <is>
          <t>https://developers.google.com/search/docs/essentials/spam-policies ; https://developers.google.com/search/docs/crawling-indexing/consolidate-duplicate-urls</t>
        </is>
      </c>
    </row>
    <row r="35" ht="170.8984375" customHeight="1">
      <c r="A35" s="18" t="inlineStr">
        <is>
          <t>A32</t>
        </is>
      </c>
      <c r="B35" s="4" t="inlineStr">
        <is>
          <t>New</t>
        </is>
      </c>
      <c r="C35" s="4" t="inlineStr">
        <is>
          <t>Scalable template</t>
        </is>
      </c>
      <c r="D35" s="4" t="inlineStr">
        <is>
          <t>Selective programmatic SEO</t>
        </is>
      </c>
      <c r="E35" s="4" t="inlineStr">
        <is>
          <t>Playbooks</t>
        </is>
      </c>
      <c r="F35" s="4" t="inlineStr">
        <is>
          <t>Role x workflow playbook pages</t>
        </is>
      </c>
      <c r="G35" s="4" t="inlineStr">
        <is>
          <t>/playbooks/{role}/{workflow}</t>
        </is>
      </c>
      <c r="H35" s="4" t="inlineStr">
        <is>
          <t>Playbook page</t>
        </is>
      </c>
      <c r="I35" s="4" t="inlineStr">
        <is>
          <t>Specific operator segments</t>
        </is>
      </c>
      <c r="J35" s="4" t="inlineStr">
        <is>
          <t>See how a concrete role should use AI/automation for a concrete recurring workflow.</t>
        </is>
      </c>
      <c r="K35" s="4" t="inlineStr">
        <is>
          <t>Promptless discovery / workflow-led search</t>
        </is>
      </c>
      <c r="L35" s="4" t="inlineStr">
        <is>
          <t>Workflow + applied guidance</t>
        </is>
      </c>
      <c r="M35" s="4" t="inlineStr">
        <is>
          <t>Appropriate because role/workflow intersections can have genuinely different constraints, KPIs, and review steps.</t>
        </is>
      </c>
      <c r="N35" s="4" t="inlineStr">
        <is>
          <t>Workflow blueprint module</t>
        </is>
      </c>
      <c r="O35" s="4" t="inlineStr">
        <is>
          <t>Article; Breadcrumb</t>
        </is>
      </c>
      <c r="P35" s="4" t="inlineStr">
        <is>
          <t>Steps; stack recommendations; prompts/templates; QA checklist</t>
        </is>
      </c>
      <c r="Q35" s="4" t="inlineStr">
        <is>
          <t>Data fields for role, workflow, triggers, inputs, tools, approval gates, outputs, metrics</t>
        </is>
      </c>
      <c r="R35" s="4" t="inlineStr">
        <is>
          <t>Paid media AI architecture; automation vs agent guide</t>
        </is>
      </c>
      <c r="S35" s="4" t="inlineStr">
        <is>
          <t>Tool comparisons; templates; case studies</t>
        </is>
      </c>
      <c r="T35" s="4" t="inlineStr">
        <is>
          <t>Index only high-signal combinations with substantial editorial input; noindex low-demand tails</t>
        </is>
      </c>
      <c r="U35" s="4" t="inlineStr">
        <is>
          <t>P2</t>
        </is>
      </c>
      <c r="V35" s="4" t="inlineStr">
        <is>
          <t>L</t>
        </is>
      </c>
      <c r="W35" s="4" t="inlineStr">
        <is>
          <t>H</t>
        </is>
      </c>
      <c r="X35" s="4" t="inlineStr">
        <is>
          <t>Coverage of practical workflow language without thin pages</t>
        </is>
      </c>
      <c r="Y35" s="19" t="inlineStr">
        <is>
          <t>https://developers.google.com/search/docs/essentials/spam-policies ; https://developers.google.com/search/docs/fundamentals/creating-helpful-content</t>
        </is>
      </c>
    </row>
    <row r="36" ht="102.5390625" customHeight="1">
      <c r="A36" s="18" t="inlineStr">
        <is>
          <t>A33</t>
        </is>
      </c>
      <c r="B36" s="4" t="inlineStr">
        <is>
          <t>New</t>
        </is>
      </c>
      <c r="C36" s="4" t="inlineStr">
        <is>
          <t>Scalable template</t>
        </is>
      </c>
      <c r="D36" s="4" t="inlineStr">
        <is>
          <t>Selective programmatic SEO</t>
        </is>
      </c>
      <c r="E36" s="4" t="inlineStr">
        <is>
          <t>Pattern library</t>
        </is>
      </c>
      <c r="F36" s="4" t="inlineStr">
        <is>
          <t>Problem -&gt; stack -&gt; proof pattern pages</t>
        </is>
      </c>
      <c r="G36" s="4" t="inlineStr">
        <is>
          <t>/patterns/{problem}/{stack}</t>
        </is>
      </c>
      <c r="H36" s="4" t="inlineStr">
        <is>
          <t>Pattern page</t>
        </is>
      </c>
      <c r="I36" s="4" t="inlineStr">
        <is>
          <t>Operators with a defined pain point but uncertain implementation approach</t>
        </is>
      </c>
      <c r="J36" s="4" t="inlineStr">
        <is>
          <t>Match business pain points to proven stacks and implementation notes.</t>
        </is>
      </c>
      <c r="K36" s="4" t="inlineStr">
        <is>
          <t>Need-state discovery / latent problem intent</t>
        </is>
      </c>
      <c r="L36" s="4" t="inlineStr">
        <is>
          <t>Informational + solution exploration</t>
        </is>
      </c>
      <c r="M36" s="4" t="inlineStr">
        <is>
          <t>Strong because the unit of value is a transferable pattern backed by proof, not a keyword variant.</t>
        </is>
      </c>
      <c r="N36" s="4" t="inlineStr">
        <is>
          <t>Pattern card library</t>
        </is>
      </c>
      <c r="O36" s="4" t="inlineStr">
        <is>
          <t>Article; Breadcrumb</t>
        </is>
      </c>
      <c r="P36" s="4" t="inlineStr">
        <is>
          <t>Pattern summary; prerequisites; caveats; linked proof</t>
        </is>
      </c>
      <c r="Q36" s="4" t="inlineStr">
        <is>
          <t>Structured fields for problem, stack, prerequisites, outputs, failure modes, proof links</t>
        </is>
      </c>
      <c r="R36" s="4" t="inlineStr">
        <is>
          <t>Orchestrator essay; AI-native delivery stack</t>
        </is>
      </c>
      <c r="S36" s="4" t="inlineStr">
        <is>
          <t>Case studies; playbooks; repo resource pages</t>
        </is>
      </c>
      <c r="T36" s="4" t="inlineStr">
        <is>
          <t>Index only patterns with proof and differentiated guidance</t>
        </is>
      </c>
      <c r="U36" s="4" t="inlineStr">
        <is>
          <t>P2</t>
        </is>
      </c>
      <c r="V36" s="4" t="inlineStr">
        <is>
          <t>M</t>
        </is>
      </c>
      <c r="W36" s="4" t="inlineStr">
        <is>
          <t>H</t>
        </is>
      </c>
      <c r="X36" s="4" t="inlineStr">
        <is>
          <t>Strong promptless SEO fit and internal journey depth</t>
        </is>
      </c>
      <c r="Y36" s="19" t="inlineStr">
        <is>
          <t>https://developers.google.com/search/docs/fundamentals/creating-helpful-content ; https://developers.google.com/search/docs/essentials/spam-policies</t>
        </is>
      </c>
    </row>
    <row r="37" ht="102.5390625" customHeight="1">
      <c r="A37" s="18" t="inlineStr">
        <is>
          <t>A34</t>
        </is>
      </c>
      <c r="B37" s="4" t="inlineStr">
        <is>
          <t>New</t>
        </is>
      </c>
      <c r="C37" s="4" t="inlineStr">
        <is>
          <t>Scalable template</t>
        </is>
      </c>
      <c r="D37" s="4" t="inlineStr">
        <is>
          <t>Selective programmatic SEO</t>
        </is>
      </c>
      <c r="E37" s="4" t="inlineStr">
        <is>
          <t>Entities</t>
        </is>
      </c>
      <c r="F37" s="4" t="inlineStr">
        <is>
          <t>Selective glossary and entity pages</t>
        </is>
      </c>
      <c r="G37" s="4" t="inlineStr">
        <is>
          <t>/glossary/{entity}</t>
        </is>
      </c>
      <c r="H37" s="4" t="inlineStr">
        <is>
          <t>Glossary/entity page</t>
        </is>
      </c>
      <c r="I37" s="4" t="inlineStr">
        <is>
          <t>Readers encountering unfamiliar terms while reading deeper pieces</t>
        </is>
      </c>
      <c r="J37" s="4" t="inlineStr">
        <is>
          <t>Resolve entity confusion fast and keep users on-site.</t>
        </is>
      </c>
      <c r="K37" s="4" t="inlineStr">
        <is>
          <t>Entity-led discovery / AI search grounding</t>
        </is>
      </c>
      <c r="L37" s="4" t="inlineStr">
        <is>
          <t>Reference</t>
        </is>
      </c>
      <c r="M37" s="4" t="inlineStr">
        <is>
          <t>Useful only if selective, opinionated, and connected to workflows - not mass-generated definitions.</t>
        </is>
      </c>
      <c r="N37" s="4" t="inlineStr">
        <is>
          <t>Definition card + related pages module</t>
        </is>
      </c>
      <c r="O37" s="4" t="inlineStr">
        <is>
          <t>Article; Breadcrumb</t>
        </is>
      </c>
      <c r="P37" s="4" t="inlineStr">
        <is>
          <t>Definition; why it matters; comparison to adjacent entities; examples</t>
        </is>
      </c>
      <c r="Q37" s="4" t="inlineStr">
        <is>
          <t>Fields for entity type, plain-English definition, why it matters, examples, related entities</t>
        </is>
      </c>
      <c r="R37" s="4" t="inlineStr">
        <is>
          <t>Every hub and cluster page</t>
        </is>
      </c>
      <c r="S37" s="4" t="inlineStr">
        <is>
          <t>Adjacent glossary pages; flagship essays; tools</t>
        </is>
      </c>
      <c r="T37" s="4" t="inlineStr">
        <is>
          <t>Index only high-value terms; noindex low-value stubs</t>
        </is>
      </c>
      <c r="U37" s="4" t="inlineStr">
        <is>
          <t>P3</t>
        </is>
      </c>
      <c r="V37" s="4" t="inlineStr">
        <is>
          <t>M</t>
        </is>
      </c>
      <c r="W37" s="4" t="inlineStr">
        <is>
          <t>M</t>
        </is>
      </c>
      <c r="X37" s="4" t="inlineStr">
        <is>
          <t>Better comprehension, lower pogo-sticking, AI-entity discoverability</t>
        </is>
      </c>
      <c r="Y37" s="19" t="inlineStr">
        <is>
          <t>https://developers.google.com/search/docs/fundamentals/creating-helpful-content ; https://developers.google.com/search/docs/appearance/structured-data/article</t>
        </is>
      </c>
    </row>
    <row r="38" ht="102.5390625" customHeight="1">
      <c r="A38" s="18" t="inlineStr">
        <is>
          <t>A35</t>
        </is>
      </c>
      <c r="B38" s="4" t="inlineStr">
        <is>
          <t>New</t>
        </is>
      </c>
      <c r="C38" s="4" t="inlineStr">
        <is>
          <t>Resource / dataset</t>
        </is>
      </c>
      <c r="D38" s="4" t="inlineStr">
        <is>
          <t>Reusable assets</t>
        </is>
      </c>
      <c r="E38" s="4" t="inlineStr">
        <is>
          <t>Prompt assets</t>
        </is>
      </c>
      <c r="F38" s="4" t="inlineStr">
        <is>
          <t>Prompt teardown library</t>
        </is>
      </c>
      <c r="G38" s="4" t="inlineStr">
        <is>
          <t>/resources/prompt-teardown-library</t>
        </is>
      </c>
      <c r="H38" s="4" t="inlineStr">
        <is>
          <t>Curated resource page</t>
        </is>
      </c>
      <c r="I38" s="4" t="inlineStr">
        <is>
          <t>Builders who want examples that explain why a prompt worked or failed</t>
        </is>
      </c>
      <c r="J38" s="4" t="inlineStr">
        <is>
          <t>Study real prompts, structures, and outcomes instead of collecting decontextualized prompt snippets.</t>
        </is>
      </c>
      <c r="K38" s="4" t="inlineStr">
        <is>
          <t>Resource-led discovery / internal progression</t>
        </is>
      </c>
      <c r="L38" s="4" t="inlineStr">
        <is>
          <t>Reference + template</t>
        </is>
      </c>
      <c r="M38" s="4" t="inlineStr">
        <is>
          <t>Higher-value than a prompt database because every example is annotated with workflow context and results.</t>
        </is>
      </c>
      <c r="N38" s="4" t="inlineStr">
        <is>
          <t>Annotated prompt cards</t>
        </is>
      </c>
      <c r="O38" s="4" t="inlineStr">
        <is>
          <t>Article; Breadcrumb; Dataset if downloadable examples exist</t>
        </is>
      </c>
      <c r="P38" s="4" t="inlineStr">
        <is>
          <t>Annotated examples; outcomes; failure notes; files</t>
        </is>
      </c>
      <c r="Q38" s="4" t="inlineStr">
        <is>
          <t>Prompt, context, task, constraints, output quality notes, revisions</t>
        </is>
      </c>
      <c r="R38" s="4" t="inlineStr">
        <is>
          <t>Build prompt guide; feasibility loop</t>
        </is>
      </c>
      <c r="S38" s="4" t="inlineStr">
        <is>
          <t>Case studies; calculators; playbooks</t>
        </is>
      </c>
      <c r="T38" s="4" t="inlineStr">
        <is>
          <t>Index</t>
        </is>
      </c>
      <c r="U38" s="4" t="inlineStr">
        <is>
          <t>P2</t>
        </is>
      </c>
      <c r="V38" s="4" t="inlineStr">
        <is>
          <t>M</t>
        </is>
      </c>
      <c r="W38" s="4" t="inlineStr">
        <is>
          <t>M</t>
        </is>
      </c>
      <c r="X38" s="4" t="inlineStr">
        <is>
          <t>Downloads, dwell time, return use</t>
        </is>
      </c>
      <c r="Y38" s="19" t="inlineStr">
        <is>
          <t>https://developers.google.com/search/docs/data-types/dataset ; https://developers.google.com/search/docs/fundamentals/creating-helpful-content</t>
        </is>
      </c>
    </row>
    <row r="39" ht="119.62890625" customHeight="1">
      <c r="A39" s="20" t="inlineStr">
        <is>
          <t>A36</t>
        </is>
      </c>
      <c r="B39" s="44" t="inlineStr">
        <is>
          <t>New</t>
        </is>
      </c>
      <c r="C39" s="44" t="inlineStr">
        <is>
          <t>Resource / dataset</t>
        </is>
      </c>
      <c r="D39" s="44" t="inlineStr">
        <is>
          <t>Benchmarks</t>
        </is>
      </c>
      <c r="E39" s="44" t="inlineStr">
        <is>
          <t>Performance evidence</t>
        </is>
      </c>
      <c r="F39" s="44" t="inlineStr">
        <is>
          <t>AI workflow benchmark index</t>
        </is>
      </c>
      <c r="G39" s="44" t="inlineStr">
        <is>
          <t>/benchmarks/ai-workflow-benchmark-index</t>
        </is>
      </c>
      <c r="H39" s="44" t="inlineStr">
        <is>
          <t>Dataset / benchmark page</t>
        </is>
      </c>
      <c r="I39" s="44" t="inlineStr">
        <is>
          <t>Advanced operators comparing approaches by speed, control, review burden, and repeatability</t>
        </is>
      </c>
      <c r="J39" s="44" t="inlineStr">
        <is>
          <t>See evidence-backed benchmark slices for real workflow types, not generic model leaderboards.</t>
        </is>
      </c>
      <c r="K39" s="44" t="inlineStr">
        <is>
          <t>Entity-led and comparison-led discovery</t>
        </is>
      </c>
      <c r="L39" s="44" t="inlineStr">
        <is>
          <t>Benchmark + reference</t>
        </is>
      </c>
      <c r="M39" s="44" t="inlineStr">
        <is>
          <t>Differentiates through recurring original data and methodology notes.</t>
        </is>
      </c>
      <c r="N39" s="44" t="inlineStr">
        <is>
          <t>Benchmark explorer</t>
        </is>
      </c>
      <c r="O39" s="44" t="inlineStr">
        <is>
          <t>Dataset; Breadcrumb; Article</t>
        </is>
      </c>
      <c r="P39" s="44" t="inlineStr">
        <is>
          <t>Methodology section; tables; downloadable CSV; update log</t>
        </is>
      </c>
      <c r="Q39" s="44" t="inlineStr">
        <is>
          <t>Workflow, stack, time-to-first-working-output, revision count, risk notes, reviewer effort</t>
        </is>
      </c>
      <c r="R39" s="44" t="inlineStr">
        <is>
          <t>Comparison explorer; agentic engineering flagship</t>
        </is>
      </c>
      <c r="S39" s="44" t="inlineStr">
        <is>
          <t>Comparison pages; pattern pages; case studies</t>
        </is>
      </c>
      <c r="T39" s="44" t="inlineStr">
        <is>
          <t>Index</t>
        </is>
      </c>
      <c r="U39" s="44" t="inlineStr">
        <is>
          <t>P3</t>
        </is>
      </c>
      <c r="V39" s="44" t="inlineStr">
        <is>
          <t>L</t>
        </is>
      </c>
      <c r="W39" s="44" t="inlineStr">
        <is>
          <t>H</t>
        </is>
      </c>
      <c r="X39" s="44" t="inlineStr">
        <is>
          <t>Backlinks, return visits, citations, AI-search discoverability</t>
        </is>
      </c>
      <c r="Y39" s="21" t="inlineStr">
        <is>
          <t>https://developers.google.com/search/docs/data-types/dataset ; https://developers.google.com/search/docs/appearance/structured-data/article</t>
        </is>
      </c>
    </row>
    <row r="40" ht="119.62890625" customHeight="1">
      <c r="A40" s="20" t="inlineStr">
        <is>
          <t>A37</t>
        </is>
      </c>
      <c r="B40" s="44" t="inlineStr">
        <is>
          <t>New</t>
        </is>
      </c>
      <c r="C40" s="44" t="inlineStr">
        <is>
          <t>Flagship</t>
        </is>
      </c>
      <c r="D40" s="44" t="inlineStr">
        <is>
          <t>AI-native delivery systems</t>
        </is>
      </c>
      <c r="E40" s="44" t="inlineStr">
        <is>
          <t>Continuous improvement</t>
        </is>
      </c>
      <c r="F40" s="44" t="inlineStr">
        <is>
          <t>The self-improving delivery loop for coding agents</t>
        </is>
      </c>
      <c r="G40" s="44" t="inlineStr">
        <is>
          <t>/automation/self-improving-delivery-loop</t>
        </is>
      </c>
      <c r="H40" s="44" t="inlineStr">
        <is>
          <t>Flagship essay</t>
        </is>
      </c>
      <c r="I40" s="44" t="inlineStr">
        <is>
          <t>Agent builders; technical operators; workflow leads</t>
        </is>
      </c>
      <c r="J40" s="44" t="inlineStr">
        <is>
          <t>Build agent systems that study real work, codify durable fixes, and improve over time.</t>
        </is>
      </c>
      <c r="K40" s="44" t="inlineStr">
        <is>
          <t>Need-state discovery / ops search / AI search</t>
        </is>
      </c>
      <c r="L40" s="44" t="inlineStr">
        <is>
          <t>Informational + framework</t>
        </is>
      </c>
      <c r="M40" s="44" t="inlineStr">
        <is>
          <t>Grounded in a real local control plane, corrective-action ledger, and downstream planning loop instead of vague self-improving-agent claims.</t>
        </is>
      </c>
      <c r="N40" s="44" t="inlineStr">
        <is>
          <t>Control-plane loop diagram + action ledger</t>
        </is>
      </c>
      <c r="O40" s="44" t="inlineStr">
        <is>
          <t>Article; Breadcrumb; ProfilePage</t>
        </is>
      </c>
      <c r="P40" s="44" t="inlineStr">
        <is>
          <t>Loop stages; action-state definitions; checklist blocks</t>
        </is>
      </c>
      <c r="Q40" s="44" t="inlineStr">
        <is>
          <t>automation-hub README, self-improving-loop doc, dashboard surfaces, automation-reports artifacts</t>
        </is>
      </c>
      <c r="R40" s="44" t="inlineStr">
        <is>
          <t>/automation; /ai; /proof</t>
        </is>
      </c>
      <c r="S40" s="44" t="inlineStr">
        <is>
          <t>/proof/automation-hub-control-plane; /resources/workflow-chain-library; /automation/automation-maturity-ladder</t>
        </is>
      </c>
      <c r="T40" s="44" t="inlineStr">
        <is>
          <t>Index</t>
        </is>
      </c>
      <c r="U40" s="44" t="inlineStr">
        <is>
          <t>P1</t>
        </is>
      </c>
      <c r="V40" s="44" t="inlineStr">
        <is>
          <t>M</t>
        </is>
      </c>
      <c r="W40" s="44" t="inlineStr">
        <is>
          <t>H</t>
        </is>
      </c>
      <c r="X40" s="44" t="inlineStr">
        <is>
          <t>Authority traffic into the automation cluster; assisted multi-page sessions</t>
        </is>
      </c>
      <c r="Y40" s="21" t="inlineStr">
        <is>
          <t>/Users/rajeev/Code/automation-hub/README.md ; /Users/rajeev/Code/automation-hub/docs/self-improving-loop.md</t>
        </is>
      </c>
    </row>
    <row r="41" ht="119.62890625" customHeight="1">
      <c r="A41" s="20" t="inlineStr">
        <is>
          <t>A38</t>
        </is>
      </c>
      <c r="B41" s="44" t="inlineStr">
        <is>
          <t>New</t>
        </is>
      </c>
      <c r="C41" s="44" t="inlineStr">
        <is>
          <t>Proof / case study</t>
        </is>
      </c>
      <c r="D41" s="44" t="inlineStr">
        <is>
          <t>Automation architecture</t>
        </is>
      </c>
      <c r="E41" s="44" t="inlineStr">
        <is>
          <t>Control planes</t>
        </is>
      </c>
      <c r="F41" s="44" t="inlineStr">
        <is>
          <t>Automation Hub: a local control plane for recurring agent work</t>
        </is>
      </c>
      <c r="G41" s="44" t="inlineStr">
        <is>
          <t>/proof/automation-hub-control-plane</t>
        </is>
      </c>
      <c r="H41" s="44" t="inlineStr">
        <is>
          <t>Case study</t>
        </is>
      </c>
      <c r="I41" s="44" t="inlineStr">
        <is>
          <t>Builders; operator-founders; workflow leads</t>
        </is>
      </c>
      <c r="J41" s="44" t="inlineStr">
        <is>
          <t>See what a working local cockpit for recurring agent work actually looks like in practice.</t>
        </is>
      </c>
      <c r="K41" s="44" t="inlineStr">
        <is>
          <t>Proof-led discovery / operations curiosity / branded search</t>
        </is>
      </c>
      <c r="L41" s="44" t="inlineStr">
        <is>
          <t>Informational + proof</t>
        </is>
      </c>
      <c r="M41" s="44" t="inlineStr">
        <is>
          <t>Uses a real local dashboard, report chain, and run-state evidence instead of a hypothetical cron-job architecture.</t>
        </is>
      </c>
      <c r="N41" s="44" t="inlineStr">
        <is>
          <t>Operator cockpit gallery + run-chain diagram</t>
        </is>
      </c>
      <c r="O41" s="44" t="inlineStr">
        <is>
          <t>Article; Breadcrumb</t>
        </is>
      </c>
      <c r="P41" s="44" t="inlineStr">
        <is>
          <t>Operational surfaces; artifact inventory; control-plane checklist</t>
        </is>
      </c>
      <c r="Q41" s="44" t="inlineStr">
        <is>
          <t>automation-hub README, operator-cockpit doc, architecture doc, screenshot gallery</t>
        </is>
      </c>
      <c r="R41" s="44" t="inlineStr">
        <is>
          <t>/proof; /automation</t>
        </is>
      </c>
      <c r="S41" s="44" t="inlineStr">
        <is>
          <t>/automation/self-improving-delivery-loop; /resources/workflow-chain-library; /resources/qmd-memory-system</t>
        </is>
      </c>
      <c r="T41" s="44" t="inlineStr">
        <is>
          <t>Index</t>
        </is>
      </c>
      <c r="U41" s="44" t="inlineStr">
        <is>
          <t>P2</t>
        </is>
      </c>
      <c r="V41" s="44" t="inlineStr">
        <is>
          <t>M</t>
        </is>
      </c>
      <c r="W41" s="44" t="inlineStr">
        <is>
          <t>H</t>
        </is>
      </c>
      <c r="X41" s="44" t="inlineStr">
        <is>
          <t>Proof-driven engagement and trust-transfer into automation pages</t>
        </is>
      </c>
      <c r="Y41" s="21" t="inlineStr">
        <is>
          <t>/Users/rajeev/Code/automation-hub/README.md ; /Users/rajeev/Code/automation-hub/docs/operator-cockpit.md ; /Users/rajeev/Code/automation-hub/docs/architecture.md</t>
        </is>
      </c>
    </row>
    <row r="42" ht="119.62890625" customHeight="1">
      <c r="A42" s="20" t="inlineStr">
        <is>
          <t>A39</t>
        </is>
      </c>
      <c r="B42" s="44" t="inlineStr">
        <is>
          <t>New</t>
        </is>
      </c>
      <c r="C42" s="44" t="inlineStr">
        <is>
          <t>Resource / dataset</t>
        </is>
      </c>
      <c r="D42" s="44" t="inlineStr">
        <is>
          <t>Benchmarks</t>
        </is>
      </c>
      <c r="E42" s="44" t="inlineStr">
        <is>
          <t>Browser automation</t>
        </is>
      </c>
      <c r="F42" s="44" t="inlineStr">
        <is>
          <t>Browser automation benchmark index</t>
        </is>
      </c>
      <c r="G42" s="44" t="inlineStr">
        <is>
          <t>/benchmarks/browser-automation-tools</t>
        </is>
      </c>
      <c r="H42" s="44" t="inlineStr">
        <is>
          <t>Benchmark index</t>
        </is>
      </c>
      <c r="I42" s="44" t="inlineStr">
        <is>
          <t>Builders evaluating browser agents; analytics auditors; workflow designers</t>
        </is>
      </c>
      <c r="J42" s="44" t="inlineStr">
        <is>
          <t>Compare browser automation tools by journey type, browser state, and proof quality.</t>
        </is>
      </c>
      <c r="K42" s="44" t="inlineStr">
        <is>
          <t>Benchmark-led discovery / comparative search / mid-funnel evaluation</t>
        </is>
      </c>
      <c r="L42" s="44" t="inlineStr">
        <is>
          <t>Comparative + dataset</t>
        </is>
      </c>
      <c r="M42" s="44" t="inlineStr">
        <is>
          <t>Built from real reversible ecommerce and luxury journeys with clean-session, attach-mode, and product-candidate distinctions.</t>
        </is>
      </c>
      <c r="N42" s="44" t="inlineStr">
        <is>
          <t>Outcome charts + scored matrix</t>
        </is>
      </c>
      <c r="O42" s="44" t="inlineStr">
        <is>
          <t>Dataset; Article; Breadcrumb</t>
        </is>
      </c>
      <c r="P42" s="44" t="inlineStr">
        <is>
          <t>Scoring rubric; benchmark matrix; tool taxonomy; journey metadata</t>
        </is>
      </c>
      <c r="Q42" s="44" t="inlineStr">
        <is>
          <t>browser-automation-tools README, benchmark report, benchmark matrix, charts</t>
        </is>
      </c>
      <c r="R42" s="44" t="inlineStr">
        <is>
          <t>/benchmarks; /ai; /proof</t>
        </is>
      </c>
      <c r="S42" s="44" t="inlineStr">
        <is>
          <t>/interactive/browser-automation-benchmark-explorer; /analytics/browser-assisted-analytics-auditing; /ai/from-vibe-coding-to-agentic-engineering</t>
        </is>
      </c>
      <c r="T42" s="44" t="inlineStr">
        <is>
          <t>Index</t>
        </is>
      </c>
      <c r="U42" s="44" t="inlineStr">
        <is>
          <t>P1</t>
        </is>
      </c>
      <c r="V42" s="44" t="inlineStr">
        <is>
          <t>M</t>
        </is>
      </c>
      <c r="W42" s="44" t="inlineStr">
        <is>
          <t>H</t>
        </is>
      </c>
      <c r="X42" s="44" t="inlineStr">
        <is>
          <t>Citations, benchmark-led discovery, and return visits</t>
        </is>
      </c>
      <c r="Y42" s="21" t="inlineStr">
        <is>
          <t>/Users/rajeev/Code/browser-automation-tools/README.md ; /Users/rajeev/Code/browser-automation-tools/evaluation/benchmark-report.md</t>
        </is>
      </c>
    </row>
    <row r="43" ht="119.62890625" customHeight="1">
      <c r="A43" s="20" t="inlineStr">
        <is>
          <t>A40</t>
        </is>
      </c>
      <c r="B43" s="44" t="inlineStr">
        <is>
          <t>New</t>
        </is>
      </c>
      <c r="C43" s="44" t="inlineStr">
        <is>
          <t>Interactive</t>
        </is>
      </c>
      <c r="D43" s="44" t="inlineStr">
        <is>
          <t>Benchmarks</t>
        </is>
      </c>
      <c r="E43" s="44" t="inlineStr">
        <is>
          <t>Browser automation</t>
        </is>
      </c>
      <c r="F43" s="44" t="inlineStr">
        <is>
          <t>Browser automation benchmark explorer</t>
        </is>
      </c>
      <c r="G43" s="44" t="inlineStr">
        <is>
          <t>/interactive/browser-automation-benchmark-explorer</t>
        </is>
      </c>
      <c r="H43" s="44" t="inlineStr">
        <is>
          <t>Interactive benchmark</t>
        </is>
      </c>
      <c r="I43" s="44" t="inlineStr">
        <is>
          <t>Builders evaluating browser agents; technical operators</t>
        </is>
      </c>
      <c r="J43" s="44" t="inlineStr">
        <is>
          <t>Filter browser tools by clean-session vs attach-mode needs, journey type, and proof quality.</t>
        </is>
      </c>
      <c r="K43" s="44" t="inlineStr">
        <is>
          <t>Utility-led discovery / comparison search</t>
        </is>
      </c>
      <c r="L43" s="44" t="inlineStr">
        <is>
          <t>Interactive + comparison</t>
        </is>
      </c>
      <c r="M43" s="44" t="inlineStr">
        <is>
          <t>Turns a static benchmark table into a reusable decision surface with journey, browser-state, and resilience filters.</t>
        </is>
      </c>
      <c r="N43" s="44" t="inlineStr">
        <is>
          <t>Filterable benchmark explorer</t>
        </is>
      </c>
      <c r="O43" s="44" t="inlineStr">
        <is>
          <t>SoftwareApplication; Breadcrumb; Dataset</t>
        </is>
      </c>
      <c r="P43" s="44" t="inlineStr">
        <is>
          <t>Filter facets; methodology summary; journey/tool facets</t>
        </is>
      </c>
      <c r="Q43" s="44" t="inlineStr">
        <is>
          <t>benchmark matrix CSV, scored findings, chart assets</t>
        </is>
      </c>
      <c r="R43" s="44" t="inlineStr">
        <is>
          <t>/benchmarks; /proof</t>
        </is>
      </c>
      <c r="S43" s="44" t="inlineStr">
        <is>
          <t>/benchmarks/browser-automation-tools; /analytics/browser-assisted-analytics-auditing; /ai/from-vibe-coding-to-agentic-engineering</t>
        </is>
      </c>
      <c r="T43" s="44" t="inlineStr">
        <is>
          <t>Index</t>
        </is>
      </c>
      <c r="U43" s="44" t="inlineStr">
        <is>
          <t>P1</t>
        </is>
      </c>
      <c r="V43" s="44" t="inlineStr">
        <is>
          <t>M</t>
        </is>
      </c>
      <c r="W43" s="44" t="inlineStr">
        <is>
          <t>H</t>
        </is>
      </c>
      <c r="X43" s="44" t="inlineStr">
        <is>
          <t>Return usage and high-intent comparison traffic</t>
        </is>
      </c>
      <c r="Y43" s="21" t="inlineStr">
        <is>
          <t>/Users/rajeev/Code/browser-automation-tools/evaluation/benchmark-matrix.csv ; /Users/rajeev/Code/browser-automation-tools/evaluation/benchmark-report.md</t>
        </is>
      </c>
    </row>
    <row r="44" ht="119.62890625" customHeight="1">
      <c r="A44" s="20" t="inlineStr">
        <is>
          <t>A41</t>
        </is>
      </c>
      <c r="B44" s="44" t="inlineStr">
        <is>
          <t>New</t>
        </is>
      </c>
      <c r="C44" s="44" t="inlineStr">
        <is>
          <t>Flagship</t>
        </is>
      </c>
      <c r="D44" s="44" t="inlineStr">
        <is>
          <t>Analytics engineering</t>
        </is>
      </c>
      <c r="E44" s="44" t="inlineStr">
        <is>
          <t>Measurement trust</t>
        </is>
      </c>
      <c r="F44" s="44" t="inlineStr">
        <is>
          <t>Browser-assisted analytics auditing: proving tags, consent, and dataLayer behavior on live sites</t>
        </is>
      </c>
      <c r="G44" s="44" t="inlineStr">
        <is>
          <t>/analytics/browser-assisted-analytics-auditing</t>
        </is>
      </c>
      <c r="H44" s="44" t="inlineStr">
        <is>
          <t>Flagship essay</t>
        </is>
      </c>
      <c r="I44" s="44" t="inlineStr">
        <is>
          <t>Measurement engineers; adtech operators; technical marketers</t>
        </is>
      </c>
      <c r="J44" s="44" t="inlineStr">
        <is>
          <t>Choose a practical audit stack for live analytics behavior instead of trusting screenshots or container configs.</t>
        </is>
      </c>
      <c r="K44" s="44" t="inlineStr">
        <is>
          <t>Problem-led discovery / measurement debugging / AI search</t>
        </is>
      </c>
      <c r="L44" s="44" t="inlineStr">
        <is>
          <t>Informational + framework</t>
        </is>
      </c>
      <c r="M44" s="44" t="inlineStr">
        <is>
          <t>Combines forensics work, benchmarked browser execution, and a live analytics-inspector implementation into one operator narrative.</t>
        </is>
      </c>
      <c r="N44" s="44" t="inlineStr">
        <is>
          <t>Trust-surface map + browser lane comparison</t>
        </is>
      </c>
      <c r="O44" s="44" t="inlineStr">
        <is>
          <t>Article; Breadcrumb; ProfilePage</t>
        </is>
      </c>
      <c r="P44" s="44" t="inlineStr">
        <is>
          <t>Truth-surface definitions; audit-stage tables; tool comparison matrix</t>
        </is>
      </c>
      <c r="Q44" s="44" t="inlineStr">
        <is>
          <t>project-zenith foundation docs, browser benchmark workspace, auto-audit-harness architecture, hackathon tagging stack</t>
        </is>
      </c>
      <c r="R44" s="44" t="inlineStr">
        <is>
          <t>/analytics; /ai; /proof</t>
        </is>
      </c>
      <c r="S44" s="44" t="inlineStr">
        <is>
          <t>/analytics/replayable-analytics-audits; /benchmarks/browser-automation-tools; /analytics/event-day-product-instrumentation-playbook</t>
        </is>
      </c>
      <c r="T44" s="44" t="inlineStr">
        <is>
          <t>Index</t>
        </is>
      </c>
      <c r="U44" s="44" t="inlineStr">
        <is>
          <t>P1</t>
        </is>
      </c>
      <c r="V44" s="44" t="inlineStr">
        <is>
          <t>L</t>
        </is>
      </c>
      <c r="W44" s="44" t="inlineStr">
        <is>
          <t>H</t>
        </is>
      </c>
      <c r="X44" s="44" t="inlineStr">
        <is>
          <t>Authority growth in measurement trust and browser auditing topics</t>
        </is>
      </c>
      <c r="Y44" s="21" t="inlineStr">
        <is>
          <t>/Users/rajeev/Code/project-zenith/docs/foundation/browser-automation-tools-review.md ; /Users/rajeev/Code/auto-audit-harness/README.md ; /Users/rajeev/Code/browser-automation-tools/README.md</t>
        </is>
      </c>
    </row>
    <row r="45" ht="119.62890625" customHeight="1">
      <c r="A45" s="20" t="inlineStr">
        <is>
          <t>A42</t>
        </is>
      </c>
      <c r="B45" s="44" t="inlineStr">
        <is>
          <t>New</t>
        </is>
      </c>
      <c r="C45" s="44" t="inlineStr">
        <is>
          <t>Cluster</t>
        </is>
      </c>
      <c r="D45" s="44" t="inlineStr">
        <is>
          <t>Analytics engineering</t>
        </is>
      </c>
      <c r="E45" s="44" t="inlineStr">
        <is>
          <t>Audit systems</t>
        </is>
      </c>
      <c r="F45" s="44" t="inlineStr">
        <is>
          <t>Replayable analytics audits: evidence bundles, decoded hits, and verifier summaries</t>
        </is>
      </c>
      <c r="G45" s="44" t="inlineStr">
        <is>
          <t>/analytics/replayable-analytics-audits</t>
        </is>
      </c>
      <c r="H45" s="44" t="inlineStr">
        <is>
          <t>Tactical guide</t>
        </is>
      </c>
      <c r="I45" s="44" t="inlineStr">
        <is>
          <t>Analytics implementers; adtech operators</t>
        </is>
      </c>
      <c r="J45" s="44" t="inlineStr">
        <is>
          <t>Design audit outputs that teams can replay, inspect, and trust after the live run finishes.</t>
        </is>
      </c>
      <c r="K45" s="44" t="inlineStr">
        <is>
          <t>Workflow search / implementation search</t>
        </is>
      </c>
      <c r="L45" s="44" t="inlineStr">
        <is>
          <t>Informational + workflow</t>
        </is>
      </c>
      <c r="M45" s="44" t="inlineStr">
        <is>
          <t>Grounded in a real evidence-bundle architecture with decoded-hit review, verifier findings, and consent dashboards.</t>
        </is>
      </c>
      <c r="N45" s="44" t="inlineStr">
        <is>
          <t>Evidence bundle anatomy</t>
        </is>
      </c>
      <c r="O45" s="44" t="inlineStr">
        <is>
          <t>Article; Breadcrumb</t>
        </is>
      </c>
      <c r="P45" s="44" t="inlineStr">
        <is>
          <t>Evidence schema; verifier tables; capture-surface map</t>
        </is>
      </c>
      <c r="Q45" s="44" t="inlineStr">
        <is>
          <t>auto-audit-harness README, architecture notes, seeded evidence fixtures</t>
        </is>
      </c>
      <c r="R45" s="44" t="inlineStr">
        <is>
          <t>/analytics/browser-assisted-analytics-auditing; /proof</t>
        </is>
      </c>
      <c r="S45" s="44" t="inlineStr">
        <is>
          <t>/analytics/event-day-product-instrumentation-playbook; /resources/qmd-memory-system; /proof/automation-hub-control-plane</t>
        </is>
      </c>
      <c r="T45" s="44" t="inlineStr">
        <is>
          <t>Index</t>
        </is>
      </c>
      <c r="U45" s="44" t="inlineStr">
        <is>
          <t>P1</t>
        </is>
      </c>
      <c r="V45" s="44" t="inlineStr">
        <is>
          <t>M</t>
        </is>
      </c>
      <c r="W45" s="44" t="inlineStr">
        <is>
          <t>H</t>
        </is>
      </c>
      <c r="X45" s="44" t="inlineStr">
        <is>
          <t>Deep sessions from implementation queries and proof assists</t>
        </is>
      </c>
      <c r="Y45" s="21" t="inlineStr">
        <is>
          <t>/Users/rajeev/Code/auto-audit-harness/README.md ; /Users/rajeev/Code/auto-audit-harness/ARCHITECTURE.md</t>
        </is>
      </c>
    </row>
    <row r="46" ht="119.62890625" customHeight="1">
      <c r="A46" s="20" t="inlineStr">
        <is>
          <t>A43</t>
        </is>
      </c>
      <c r="B46" s="44" t="inlineStr">
        <is>
          <t>New</t>
        </is>
      </c>
      <c r="C46" s="44" t="inlineStr">
        <is>
          <t>Cluster</t>
        </is>
      </c>
      <c r="D46" s="44" t="inlineStr">
        <is>
          <t>Analytics engineering</t>
        </is>
      </c>
      <c r="E46" s="44" t="inlineStr">
        <is>
          <t>Event instrumentation</t>
        </is>
      </c>
      <c r="F46" s="44" t="inlineStr">
        <is>
          <t>Instrumenting live event products without breaking consent, QA, or reporting</t>
        </is>
      </c>
      <c r="G46" s="44" t="inlineStr">
        <is>
          <t>/analytics/event-day-product-instrumentation-playbook</t>
        </is>
      </c>
      <c r="H46" s="44" t="inlineStr">
        <is>
          <t>Playbook</t>
        </is>
      </c>
      <c r="I46" s="44" t="inlineStr">
        <is>
          <t>Product operators; analytics engineers; technical marketers</t>
        </is>
      </c>
      <c r="J46" s="44" t="inlineStr">
        <is>
          <t>Ship a live event app with consent-aware telemetry, first-party collection, and stakeholder-readable reporting.</t>
        </is>
      </c>
      <c r="K46" s="44" t="inlineStr">
        <is>
          <t>Problem-led discovery / implementation search</t>
        </is>
      </c>
      <c r="L46" s="44" t="inlineStr">
        <is>
          <t>Informational + workflow</t>
        </is>
      </c>
      <c r="M46" s="44" t="inlineStr">
        <is>
          <t>Anchored in a real voting app with first-party collection, promoted custom dimensions, and reporting refresh procedures.</t>
        </is>
      </c>
      <c r="N46" s="44" t="inlineStr">
        <is>
          <t>Event contract map + first-party flow diagram</t>
        </is>
      </c>
      <c r="O46" s="44" t="inlineStr">
        <is>
          <t>Article; Breadcrumb</t>
        </is>
      </c>
      <c r="P46" s="44" t="inlineStr">
        <is>
          <t>Event taxonomy; promoted dimension list; checklist blocks</t>
        </is>
      </c>
      <c r="Q46" s="44" t="inlineStr">
        <is>
          <t>hackathon-voting-prototype README, Google tagging stack doc, analytics acceptance proof</t>
        </is>
      </c>
      <c r="R46" s="44" t="inlineStr">
        <is>
          <t>/analytics; /playbooks; /proof</t>
        </is>
      </c>
      <c r="S46" s="44" t="inlineStr">
        <is>
          <t>/blog/how-we-built-the-hackathon-voting-app; /projects/hackathon-voting-analytics; /analytics/browser-assisted-analytics-auditing</t>
        </is>
      </c>
      <c r="T46" s="44" t="inlineStr">
        <is>
          <t>Index</t>
        </is>
      </c>
      <c r="U46" s="44" t="inlineStr">
        <is>
          <t>P1</t>
        </is>
      </c>
      <c r="V46" s="44" t="inlineStr">
        <is>
          <t>M</t>
        </is>
      </c>
      <c r="W46" s="44" t="inlineStr">
        <is>
          <t>H</t>
        </is>
      </c>
      <c r="X46" s="44" t="inlineStr">
        <is>
          <t>Long-tail implementation traffic and project-route assists</t>
        </is>
      </c>
      <c r="Y46" s="21" t="inlineStr">
        <is>
          <t>/Users/rajeev/Code/hackathon-voting-prototype/README.md ; /Users/rajeev/Code/hackathon-voting-prototype/docs/google-tagging-stack.md</t>
        </is>
      </c>
    </row>
    <row r="47" ht="119.62890625" customHeight="1">
      <c r="A47" s="20" t="inlineStr">
        <is>
          <t>A44</t>
        </is>
      </c>
      <c r="B47" s="44" t="inlineStr">
        <is>
          <t>New</t>
        </is>
      </c>
      <c r="C47" s="44" t="inlineStr">
        <is>
          <t>Cluster</t>
        </is>
      </c>
      <c r="D47" s="44" t="inlineStr">
        <is>
          <t>Agentic engineering</t>
        </is>
      </c>
      <c r="E47" s="44" t="inlineStr">
        <is>
          <t>Extraction systems</t>
        </is>
      </c>
      <c r="F47" s="44" t="inlineStr">
        <is>
          <t>The extraction ladder for messy websites: structured data first, agents last</t>
        </is>
      </c>
      <c r="G47" s="44" t="inlineStr">
        <is>
          <t>/playbooks/extraction-ladder-for-messy-sites</t>
        </is>
      </c>
      <c r="H47" s="44" t="inlineStr">
        <is>
          <t>Guide</t>
        </is>
      </c>
      <c r="I47" s="44" t="inlineStr">
        <is>
          <t>Data builders; scraping/debugging engineers</t>
        </is>
      </c>
      <c r="J47" s="44" t="inlineStr">
        <is>
          <t>Choose the cheapest deterministic extraction path before reaching for an agent or adapter.</t>
        </is>
      </c>
      <c r="K47" s="44" t="inlineStr">
        <is>
          <t>Workflow search / implementation discovery</t>
        </is>
      </c>
      <c r="L47" s="44" t="inlineStr">
        <is>
          <t>Informational + workflow</t>
        </is>
      </c>
      <c r="M47" s="44" t="inlineStr">
        <is>
          <t>Turns a repo-level extraction contract into a general method with evidence rules and escalation logic.</t>
        </is>
      </c>
      <c r="N47" s="44" t="inlineStr">
        <is>
          <t>Extraction ladder diagram</t>
        </is>
      </c>
      <c r="O47" s="44" t="inlineStr">
        <is>
          <t>Article; Breadcrumb</t>
        </is>
      </c>
      <c r="P47" s="44" t="inlineStr">
        <is>
          <t>Ordered extraction stages; field-evidence rules; escalation criteria</t>
        </is>
      </c>
      <c r="Q47" s="44" t="inlineStr">
        <is>
          <t>property-search README, extraction-ladder design doc, canonical-schema work</t>
        </is>
      </c>
      <c r="R47" s="44" t="inlineStr">
        <is>
          <t>/playbooks; /ai; /proof</t>
        </is>
      </c>
      <c r="S47" s="44" t="inlineStr">
        <is>
          <t>/proof/benchmark-spreadsheet-seed-registry; /resources/workflow-chain-library; /resources/agentic-workflow-stack</t>
        </is>
      </c>
      <c r="T47" s="44" t="inlineStr">
        <is>
          <t>Index</t>
        </is>
      </c>
      <c r="U47" s="44" t="inlineStr">
        <is>
          <t>P1</t>
        </is>
      </c>
      <c r="V47" s="44" t="inlineStr">
        <is>
          <t>M</t>
        </is>
      </c>
      <c r="W47" s="44" t="inlineStr">
        <is>
          <t>H</t>
        </is>
      </c>
      <c r="X47" s="44" t="inlineStr">
        <is>
          <t>Qualified technical discovery and internal-link assists into data projects</t>
        </is>
      </c>
      <c r="Y47" s="21" t="inlineStr">
        <is>
          <t>/Users/rajeev/Code/property-search/README.md ; /Users/rajeev/Code/property-search/docs/design-docs/extraction-ladder.md</t>
        </is>
      </c>
    </row>
    <row r="48" ht="119.62890625" customHeight="1">
      <c r="A48" s="20" t="inlineStr">
        <is>
          <t>A45</t>
        </is>
      </c>
      <c r="B48" s="44" t="inlineStr">
        <is>
          <t>New</t>
        </is>
      </c>
      <c r="C48" s="44" t="inlineStr">
        <is>
          <t>Proof / case study</t>
        </is>
      </c>
      <c r="D48" s="44" t="inlineStr">
        <is>
          <t>Reusable assets</t>
        </is>
      </c>
      <c r="E48" s="44" t="inlineStr">
        <is>
          <t>Seed registries</t>
        </is>
      </c>
      <c r="F48" s="44" t="inlineStr">
        <is>
          <t>Turning a benchmark spreadsheet into a durable seed registry</t>
        </is>
      </c>
      <c r="G48" s="44" t="inlineStr">
        <is>
          <t>/proof/benchmark-spreadsheet-seed-registry</t>
        </is>
      </c>
      <c r="H48" s="44" t="inlineStr">
        <is>
          <t>Build log</t>
        </is>
      </c>
      <c r="I48" s="44" t="inlineStr">
        <is>
          <t>Researchers; local-data operators; workflow builders</t>
        </is>
      </c>
      <c r="J48" s="44" t="inlineStr">
        <is>
          <t>Preserve messy spreadsheet knowledge while moving toward repeatable refresh pipelines.</t>
        </is>
      </c>
      <c r="K48" s="44" t="inlineStr">
        <is>
          <t>Proof-led discovery / long-tail workflow search</t>
        </is>
      </c>
      <c r="L48" s="44" t="inlineStr">
        <is>
          <t>Informational + proof</t>
        </is>
      </c>
      <c r="M48" s="44" t="inlineStr">
        <is>
          <t>Connects RTM Hunt and property-search around provenance, seed coverage, and low-confidence quarantine instead of pretending discovery starts clean.</t>
        </is>
      </c>
      <c r="N48" s="44" t="inlineStr">
        <is>
          <t>Registry lifecycle diagram</t>
        </is>
      </c>
      <c r="O48" s="44" t="inlineStr">
        <is>
          <t>Article; Breadcrumb</t>
        </is>
      </c>
      <c r="P48" s="44" t="inlineStr">
        <is>
          <t>Spreadsheet field map; provenance rules; refresh stages</t>
        </is>
      </c>
      <c r="Q48" s="44" t="inlineStr">
        <is>
          <t>rtm-hunt benchmark importer, seed-registry conventions, property-search source contracts</t>
        </is>
      </c>
      <c r="R48" s="44" t="inlineStr">
        <is>
          <t>/proof; /playbooks</t>
        </is>
      </c>
      <c r="S48" s="44" t="inlineStr">
        <is>
          <t>/playbooks/extraction-ladder-for-messy-sites; /resources/workflow-chain-library; /resources/agentic-workflow-stack</t>
        </is>
      </c>
      <c r="T48" s="44" t="inlineStr">
        <is>
          <t>Index</t>
        </is>
      </c>
      <c r="U48" s="44" t="inlineStr">
        <is>
          <t>P2</t>
        </is>
      </c>
      <c r="V48" s="44" t="inlineStr">
        <is>
          <t>M</t>
        </is>
      </c>
      <c r="W48" s="44" t="inlineStr">
        <is>
          <t>M</t>
        </is>
      </c>
      <c r="X48" s="44" t="inlineStr">
        <is>
          <t>Proof-driven engagement from data workflow readers</t>
        </is>
      </c>
      <c r="Y48" s="21" t="inlineStr">
        <is>
          <t>/Users/rajeev/Code/rtm-hunt/README.md ; /Users/rajeev/Code/property-search/README.md</t>
        </is>
      </c>
    </row>
    <row r="49" ht="119.62890625" customHeight="1">
      <c r="A49" s="20" t="inlineStr">
        <is>
          <t>A46</t>
        </is>
      </c>
      <c r="B49" s="44" t="inlineStr">
        <is>
          <t>New</t>
        </is>
      </c>
      <c r="C49" s="44" t="inlineStr">
        <is>
          <t>Resource / dataset</t>
        </is>
      </c>
      <c r="D49" s="44" t="inlineStr">
        <is>
          <t>Benchmarks</t>
        </is>
      </c>
      <c r="E49" s="44" t="inlineStr">
        <is>
          <t>Model intelligence</t>
        </is>
      </c>
      <c r="F49" s="44" t="inlineStr">
        <is>
          <t>Model intelligence guide: auditable cohort rules, scenario scoring, and workbook outputs</t>
        </is>
      </c>
      <c r="G49" s="44" t="inlineStr">
        <is>
          <t>/benchmarks/model-intelligence-guide</t>
        </is>
      </c>
      <c r="H49" s="44" t="inlineStr">
        <is>
          <t>Dataset + guide</t>
        </is>
      </c>
      <c r="I49" s="44" t="inlineStr">
        <is>
          <t>Model buyers; AI product builders; technical operators</t>
        </is>
      </c>
      <c r="J49" s="44" t="inlineStr">
        <is>
          <t>Compare models with transparent coverage rules and scenario-based scoring.</t>
        </is>
      </c>
      <c r="K49" s="44" t="inlineStr">
        <is>
          <t>Benchmark-led discovery / comparison search</t>
        </is>
      </c>
      <c r="L49" s="44" t="inlineStr">
        <is>
          <t>Comparative + dataset</t>
        </is>
      </c>
      <c r="M49" s="44" t="inlineStr">
        <is>
          <t>Uses explicit guide cohort, strict cohort, and enrichment flags so readers can see what the recommendation is actually built from.</t>
        </is>
      </c>
      <c r="N49" s="44" t="inlineStr">
        <is>
          <t>Cohort coverage map + scenario scorer</t>
        </is>
      </c>
      <c r="O49" s="44" t="inlineStr">
        <is>
          <t>Dataset; Article; Breadcrumb</t>
        </is>
      </c>
      <c r="P49" s="44" t="inlineStr">
        <is>
          <t>Normalized fields; scoring weights; cohort flags; recommendation profiles</t>
        </is>
      </c>
      <c r="Q49" s="44" t="inlineStr">
        <is>
          <t>openrouter model maintainer README, methodology doc, workbook outputs, static guide</t>
        </is>
      </c>
      <c r="R49" s="44" t="inlineStr">
        <is>
          <t>/benchmarks; /ai</t>
        </is>
      </c>
      <c r="S49" s="44" t="inlineStr">
        <is>
          <t>/interactive/model-recommendation-explorer; /resources/agentic-workflow-stack; /ai/context-brokers-token-efficiency</t>
        </is>
      </c>
      <c r="T49" s="44" t="inlineStr">
        <is>
          <t>Index</t>
        </is>
      </c>
      <c r="U49" s="44" t="inlineStr">
        <is>
          <t>P1</t>
        </is>
      </c>
      <c r="V49" s="44" t="inlineStr">
        <is>
          <t>M</t>
        </is>
      </c>
      <c r="W49" s="44" t="inlineStr">
        <is>
          <t>H</t>
        </is>
      </c>
      <c r="X49" s="44" t="inlineStr">
        <is>
          <t>Benchmark-led traffic and high-value return sessions</t>
        </is>
      </c>
      <c r="Y49" s="21" t="inlineStr">
        <is>
          <t>/Users/rajeev/Code/openrouter-model-workbook-maintainer-v2/README.md ; /Users/rajeev/Code/openrouter-model-workbook-maintainer-v2/docs/methodology.md</t>
        </is>
      </c>
    </row>
    <row r="50" ht="119.62890625" customHeight="1">
      <c r="A50" s="20" t="inlineStr">
        <is>
          <t>A47</t>
        </is>
      </c>
      <c r="B50" s="44" t="inlineStr">
        <is>
          <t>New</t>
        </is>
      </c>
      <c r="C50" s="44" t="inlineStr">
        <is>
          <t>Interactive</t>
        </is>
      </c>
      <c r="D50" s="44" t="inlineStr">
        <is>
          <t>Benchmarks</t>
        </is>
      </c>
      <c r="E50" s="44" t="inlineStr">
        <is>
          <t>Model intelligence</t>
        </is>
      </c>
      <c r="F50" s="44" t="inlineStr">
        <is>
          <t>Model recommendation explorer</t>
        </is>
      </c>
      <c r="G50" s="44" t="inlineStr">
        <is>
          <t>/interactive/model-recommendation-explorer</t>
        </is>
      </c>
      <c r="H50" s="44" t="inlineStr">
        <is>
          <t>Interactive benchmark</t>
        </is>
      </c>
      <c r="I50" s="44" t="inlineStr">
        <is>
          <t>Model buyers; AI product builders; advanced users</t>
        </is>
      </c>
      <c r="J50" s="44" t="inlineStr">
        <is>
          <t>Filter model choices by coding, reasoning, latency, budget, and long context without losing methodology context.</t>
        </is>
      </c>
      <c r="K50" s="44" t="inlineStr">
        <is>
          <t>Utility-led discovery / comparison search</t>
        </is>
      </c>
      <c r="L50" s="44" t="inlineStr">
        <is>
          <t>Interactive + comparison</t>
        </is>
      </c>
      <c r="M50" s="44" t="inlineStr">
        <is>
          <t>Pairs auditable workbook data with explicit scenario presets instead of a black-box leaderboard.</t>
        </is>
      </c>
      <c r="N50" s="44" t="inlineStr">
        <is>
          <t>Filterable recommendation explorer</t>
        </is>
      </c>
      <c r="O50" s="44" t="inlineStr">
        <is>
          <t>SoftwareApplication; Breadcrumb; Dataset</t>
        </is>
      </c>
      <c r="P50" s="44" t="inlineStr">
        <is>
          <t>Filter facets; scenario presets; methodology summary</t>
        </is>
      </c>
      <c r="Q50" s="44" t="inlineStr">
        <is>
          <t>guide cohort datasets, scenario profiles, workbook exports</t>
        </is>
      </c>
      <c r="R50" s="44" t="inlineStr">
        <is>
          <t>/benchmarks; /ai</t>
        </is>
      </c>
      <c r="S50" s="44" t="inlineStr">
        <is>
          <t>/benchmarks/model-intelligence-guide; /ai/context-brokers-token-efficiency; /interactive/context-window-budget-calculator</t>
        </is>
      </c>
      <c r="T50" s="44" t="inlineStr">
        <is>
          <t>Index</t>
        </is>
      </c>
      <c r="U50" s="44" t="inlineStr">
        <is>
          <t>P1</t>
        </is>
      </c>
      <c r="V50" s="44" t="inlineStr">
        <is>
          <t>M</t>
        </is>
      </c>
      <c r="W50" s="44" t="inlineStr">
        <is>
          <t>H</t>
        </is>
      </c>
      <c r="X50" s="44" t="inlineStr">
        <is>
          <t>Repeat usage and comparison-led discovery</t>
        </is>
      </c>
      <c r="Y50" s="21" t="inlineStr">
        <is>
          <t>/Users/rajeev/Code/openrouter-model-workbook-maintainer-v2/docs/methodology.md ; /Users/rajeev/Code/openrouter-model-workbook-maintainer-v2/README.md</t>
        </is>
      </c>
    </row>
    <row r="51" ht="119.62890625" customHeight="1">
      <c r="A51" s="20" t="inlineStr">
        <is>
          <t>A48</t>
        </is>
      </c>
      <c r="B51" s="44" t="inlineStr">
        <is>
          <t>New</t>
        </is>
      </c>
      <c r="C51" s="44" t="inlineStr">
        <is>
          <t>Cluster</t>
        </is>
      </c>
      <c r="D51" s="44" t="inlineStr">
        <is>
          <t>AI-native delivery systems</t>
        </is>
      </c>
      <c r="E51" s="44" t="inlineStr">
        <is>
          <t>Public learning</t>
        </is>
      </c>
      <c r="F51" s="44" t="inlineStr">
        <is>
          <t>Turning repo activity into a public learning archive</t>
        </is>
      </c>
      <c r="G51" s="44" t="inlineStr">
        <is>
          <t>/playbooks/repo-activity-to-public-diary</t>
        </is>
      </c>
      <c r="H51" s="44" t="inlineStr">
        <is>
          <t>Playbook</t>
        </is>
      </c>
      <c r="I51" s="44" t="inlineStr">
        <is>
          <t>Solo builders; content operators; workflow nerds</t>
        </is>
      </c>
      <c r="J51" s="44" t="inlineStr">
        <is>
          <t>Convert real repo activity into publishable diary entries without fabricating work.</t>
        </is>
      </c>
      <c r="K51" s="44" t="inlineStr">
        <is>
          <t>Workflow search / content ops search</t>
        </is>
      </c>
      <c r="L51" s="44" t="inlineStr">
        <is>
          <t>Informational + workflow</t>
        </is>
      </c>
      <c r="M51" s="44" t="inlineStr">
        <is>
          <t>Grounded in refresh gates, source links, and deterministic fallbacks rather than generic 'build in public' advice.</t>
        </is>
      </c>
      <c r="N51" s="44" t="inlineStr">
        <is>
          <t>Activity-to-diary pipeline</t>
        </is>
      </c>
      <c r="O51" s="44" t="inlineStr">
        <is>
          <t>Article; Breadcrumb</t>
        </is>
      </c>
      <c r="P51" s="44" t="inlineStr">
        <is>
          <t>Refresh-gate rules; repo-day signal fields; output artifact list</t>
        </is>
      </c>
      <c r="Q51" s="44" t="inlineStr">
        <is>
          <t>workflow-garden README, diary pipeline doc, generated feed outputs</t>
        </is>
      </c>
      <c r="R51" s="44" t="inlineStr">
        <is>
          <t>/playbooks; /proof; /resources</t>
        </is>
      </c>
      <c r="S51" s="44" t="inlineStr">
        <is>
          <t>/resources/qmd-memory-system; /resources/workflow-chain-library; /proof/choice-compass-harness-build-log</t>
        </is>
      </c>
      <c r="T51" s="44" t="inlineStr">
        <is>
          <t>Index</t>
        </is>
      </c>
      <c r="U51" s="44" t="inlineStr">
        <is>
          <t>P2</t>
        </is>
      </c>
      <c r="V51" s="44" t="inlineStr">
        <is>
          <t>M</t>
        </is>
      </c>
      <c r="W51" s="44" t="inlineStr">
        <is>
          <t>M</t>
        </is>
      </c>
      <c r="X51" s="44" t="inlineStr">
        <is>
          <t>Workflow curiosity traffic and deeper proof sessions</t>
        </is>
      </c>
      <c r="Y51" s="21" t="inlineStr">
        <is>
          <t>/Users/rajeev/Code/workflow-garden/README.md ; /Users/rajeev/Code/workflow-garden/docs/ops/diary-pipeline.md</t>
        </is>
      </c>
    </row>
    <row r="52" ht="119.62890625" customHeight="1">
      <c r="A52" s="20" t="inlineStr">
        <is>
          <t>A49</t>
        </is>
      </c>
      <c r="B52" s="44" t="inlineStr">
        <is>
          <t>New</t>
        </is>
      </c>
      <c r="C52" s="44" t="inlineStr">
        <is>
          <t>Cluster</t>
        </is>
      </c>
      <c r="D52" s="44" t="inlineStr">
        <is>
          <t>Reliable AI usage</t>
        </is>
      </c>
      <c r="E52" s="44" t="inlineStr">
        <is>
          <t>AI writing interfaces</t>
        </is>
      </c>
      <c r="F52" s="44" t="inlineStr">
        <is>
          <t>AI autocomplete should feel like a writing aid, not a chatbot</t>
        </is>
      </c>
      <c r="G52" s="44" t="inlineStr">
        <is>
          <t>/ai/ai-autocomplete-as-writing-aid</t>
        </is>
      </c>
      <c r="H52" s="44" t="inlineStr">
        <is>
          <t>Guide</t>
        </is>
      </c>
      <c r="I52" s="44" t="inlineStr">
        <is>
          <t>Product designers; AI feature builders; note-tool founders</t>
        </is>
      </c>
      <c r="J52" s="44" t="inlineStr">
        <is>
          <t>Design inline AI assistance that feels calm, cancelable, and portable across providers.</t>
        </is>
      </c>
      <c r="K52" s="44" t="inlineStr">
        <is>
          <t>Product search / AI UX search</t>
        </is>
      </c>
      <c r="L52" s="44" t="inlineStr">
        <is>
          <t>Informational + guide</t>
        </is>
      </c>
      <c r="M52" s="44" t="inlineStr">
        <is>
          <t>Connects provider portability, streaming constraints, and quiet-editor UX into one product pattern.</t>
        </is>
      </c>
      <c r="N52" s="44" t="inlineStr">
        <is>
          <t>Inline suggestion anatomy</t>
        </is>
      </c>
      <c r="O52" s="44" t="inlineStr">
        <is>
          <t>Article; Breadcrumb</t>
        </is>
      </c>
      <c r="P52" s="44" t="inlineStr">
        <is>
          <t>Provider contract table; prompt constraints; telemetry list</t>
        </is>
      </c>
      <c r="Q52" s="44" t="inlineStr">
        <is>
          <t>mark-notes AI autocomplete notes, UX foundation, validation trail</t>
        </is>
      </c>
      <c r="R52" s="44" t="inlineStr">
        <is>
          <t>/ai; /playbooks</t>
        </is>
      </c>
      <c r="S52" s="44" t="inlineStr">
        <is>
          <t>/proof/mark-notes-local-first-ai-notes; /resources/agentic-workflow-stack; /ai/fact-inference-ambiguity-framework</t>
        </is>
      </c>
      <c r="T52" s="44" t="inlineStr">
        <is>
          <t>Index</t>
        </is>
      </c>
      <c r="U52" s="44" t="inlineStr">
        <is>
          <t>P2</t>
        </is>
      </c>
      <c r="V52" s="44" t="inlineStr">
        <is>
          <t>M</t>
        </is>
      </c>
      <c r="W52" s="44" t="inlineStr">
        <is>
          <t>M</t>
        </is>
      </c>
      <c r="X52" s="44" t="inlineStr">
        <is>
          <t>Qualified product-UX traffic and assists into proof pages</t>
        </is>
      </c>
      <c r="Y52" s="21" t="inlineStr">
        <is>
          <t>/Users/rajeev/Code/mark-notes/docs/references/ai-autocomplete-notes.md ; /Users/rajeev/Code/mark-notes/docs/product-specs/cross-platform-ux-foundation.md</t>
        </is>
      </c>
    </row>
    <row r="53" ht="119.62890625" customHeight="1">
      <c r="A53" s="20" t="inlineStr">
        <is>
          <t>A50</t>
        </is>
      </c>
      <c r="B53" s="44" t="inlineStr">
        <is>
          <t>New</t>
        </is>
      </c>
      <c r="C53" s="44" t="inlineStr">
        <is>
          <t>Proof / case study</t>
        </is>
      </c>
      <c r="D53" s="44" t="inlineStr">
        <is>
          <t>Solution design</t>
        </is>
      </c>
      <c r="E53" s="44" t="inlineStr">
        <is>
          <t>Local-first tools</t>
        </is>
      </c>
      <c r="F53" s="44" t="inlineStr">
        <is>
          <t>Mark Notes: building a calm cross-platform local-first note app with AI kept quiet</t>
        </is>
      </c>
      <c r="G53" s="44" t="inlineStr">
        <is>
          <t>/proof/mark-notes-local-first-ai-notes</t>
        </is>
      </c>
      <c r="H53" s="44" t="inlineStr">
        <is>
          <t>Case study</t>
        </is>
      </c>
      <c r="I53" s="44" t="inlineStr">
        <is>
          <t>Founders; product builders; designers</t>
        </is>
      </c>
      <c r="J53" s="44" t="inlineStr">
        <is>
          <t>See how local-first sync, Apple-Notes-like structure, and restrained AI can coexist across web, desktop, and mobile.</t>
        </is>
      </c>
      <c r="K53" s="44" t="inlineStr">
        <is>
          <t>Proof-led discovery / cross-platform app search</t>
        </is>
      </c>
      <c r="L53" s="44" t="inlineStr">
        <is>
          <t>Informational + proof</t>
        </is>
      </c>
      <c r="M53" s="44" t="inlineStr">
        <is>
          <t>Combines an explicit UX baseline, cross-platform shell strategy, and provider-portable AI notes into one coherent product case study.</t>
        </is>
      </c>
      <c r="N53" s="44" t="inlineStr">
        <is>
          <t>Viewport model gallery</t>
        </is>
      </c>
      <c r="O53" s="44" t="inlineStr">
        <is>
          <t>Article; Breadcrumb</t>
        </is>
      </c>
      <c r="P53" s="44" t="inlineStr">
        <is>
          <t>Viewport model summary; validation checkpoints; platform matrix</t>
        </is>
      </c>
      <c r="Q53" s="44" t="inlineStr">
        <is>
          <t>mark-notes README, UX foundation, validation docs, platform references</t>
        </is>
      </c>
      <c r="R53" s="44" t="inlineStr">
        <is>
          <t>/proof; /playbooks</t>
        </is>
      </c>
      <c r="S53" s="44" t="inlineStr">
        <is>
          <t>/ai/ai-autocomplete-as-writing-aid; /playbooks/web-components-for-design-systems; /resources/agentic-workflow-stack</t>
        </is>
      </c>
      <c r="T53" s="44" t="inlineStr">
        <is>
          <t>Index</t>
        </is>
      </c>
      <c r="U53" s="44" t="inlineStr">
        <is>
          <t>P2</t>
        </is>
      </c>
      <c r="V53" s="44" t="inlineStr">
        <is>
          <t>L</t>
        </is>
      </c>
      <c r="W53" s="44" t="inlineStr">
        <is>
          <t>M</t>
        </is>
      </c>
      <c r="X53" s="44" t="inlineStr">
        <is>
          <t>Proof-driven engagement and product-design credibility</t>
        </is>
      </c>
      <c r="Y53" s="21" t="inlineStr">
        <is>
          <t>/Users/rajeev/Code/mark-notes/README.md ; /Users/rajeev/Code/mark-notes/docs/product-specs/cross-platform-ux-foundation.md</t>
        </is>
      </c>
    </row>
    <row r="54" ht="119.62890625" customHeight="1">
      <c r="A54" s="20" t="inlineStr">
        <is>
          <t>A51</t>
        </is>
      </c>
      <c r="B54" s="44" t="inlineStr">
        <is>
          <t>New</t>
        </is>
      </c>
      <c r="C54" s="44" t="inlineStr">
        <is>
          <t>Cluster</t>
        </is>
      </c>
      <c r="D54" s="44" t="inlineStr">
        <is>
          <t>Solution design</t>
        </is>
      </c>
      <c r="E54" s="44" t="inlineStr">
        <is>
          <t>Component systems</t>
        </is>
      </c>
      <c r="F54" s="44" t="inlineStr">
        <is>
          <t>Web components for design systems: when lightweight custom elements beat framework lock-in</t>
        </is>
      </c>
      <c r="G54" s="44" t="inlineStr">
        <is>
          <t>/playbooks/web-components-for-design-systems</t>
        </is>
      </c>
      <c r="H54" s="44" t="inlineStr">
        <is>
          <t>Guide / teardown</t>
        </is>
      </c>
      <c r="I54" s="44" t="inlineStr">
        <is>
          <t>Design system builders; frontend engineers</t>
        </is>
      </c>
      <c r="J54" s="44" t="inlineStr">
        <is>
          <t>Decide when to use web components and lightweight runtimes instead of framework-bound UI kits.</t>
        </is>
      </c>
      <c r="K54" s="44" t="inlineStr">
        <is>
          <t>Technical search / component-library discovery</t>
        </is>
      </c>
      <c r="L54" s="44" t="inlineStr">
        <is>
          <t>Informational + teardown</t>
        </is>
      </c>
      <c r="M54" s="44" t="inlineStr">
        <is>
          <t>Rooted in a working reactive runtime with metrics, cleanup, custom elements, and Tailwind theming instead of generic web-component advocacy.</t>
        </is>
      </c>
      <c r="N54" s="44" t="inlineStr">
        <is>
          <t>Runtime anatomy + component boundary diagram</t>
        </is>
      </c>
      <c r="O54" s="44" t="inlineStr">
        <is>
          <t>Article; Breadcrumb</t>
        </is>
      </c>
      <c r="P54" s="44" t="inlineStr">
        <is>
          <t>Custom-element contract; runtime features; metrics checklist</t>
        </is>
      </c>
      <c r="Q54" s="44" t="inlineStr">
        <is>
          <t>mini-lit README and next-webcomponent runtime overview</t>
        </is>
      </c>
      <c r="R54" s="44" t="inlineStr">
        <is>
          <t>/playbooks; /resources</t>
        </is>
      </c>
      <c r="S54" s="44" t="inlineStr">
        <is>
          <t>/resources/agentic-workflow-stack; /proof/choice-compass-harness-build-log; /proof/mark-notes-local-first-ai-notes</t>
        </is>
      </c>
      <c r="T54" s="44" t="inlineStr">
        <is>
          <t>Index</t>
        </is>
      </c>
      <c r="U54" s="44" t="inlineStr">
        <is>
          <t>P3</t>
        </is>
      </c>
      <c r="V54" s="44" t="inlineStr">
        <is>
          <t>M</t>
        </is>
      </c>
      <c r="W54" s="44" t="inlineStr">
        <is>
          <t>M</t>
        </is>
      </c>
      <c r="X54" s="44" t="inlineStr">
        <is>
          <t>Niche component-system discovery and stack-page assists</t>
        </is>
      </c>
      <c r="Y54" s="21" t="inlineStr">
        <is>
          <t>/Users/rajeev/Code/mini-lit/README.md ; /Users/rajeev/Code/mini-lit/docs/next-webcomponent-overview.md</t>
        </is>
      </c>
    </row>
    <row r="55" ht="119.62890625" customHeight="1">
      <c r="A55" s="20" t="inlineStr">
        <is>
          <t>A52</t>
        </is>
      </c>
      <c r="B55" s="44" t="inlineStr">
        <is>
          <t>New</t>
        </is>
      </c>
      <c r="C55" s="44" t="inlineStr">
        <is>
          <t>Proof / case study</t>
        </is>
      </c>
      <c r="D55" s="44" t="inlineStr">
        <is>
          <t>Agentic engineering</t>
        </is>
      </c>
      <c r="E55" s="44" t="inlineStr">
        <is>
          <t>Harness-driven builds</t>
        </is>
      </c>
      <c r="F55" s="44" t="inlineStr">
        <is>
          <t>Shipping a tiny product end to end with repo-bootstrap, PRD, proof, and ship loop</t>
        </is>
      </c>
      <c r="G55" s="44" t="inlineStr">
        <is>
          <t>/proof/choice-compass-harness-build-log</t>
        </is>
      </c>
      <c r="H55" s="44" t="inlineStr">
        <is>
          <t>Build log</t>
        </is>
      </c>
      <c r="I55" s="44" t="inlineStr">
        <is>
          <t>Builders adopting the process; solo operators</t>
        </is>
      </c>
      <c r="J55" s="44" t="inlineStr">
        <is>
          <t>See the smallest credible example of the full issue-driven harness from blank repo to live URL.</t>
        </is>
      </c>
      <c r="K55" s="44" t="inlineStr">
        <is>
          <t>Proof-led discovery / workflow search</t>
        </is>
      </c>
      <c r="L55" s="44" t="inlineStr">
        <is>
          <t>Informational + proof</t>
        </is>
      </c>
      <c r="M55" s="44" t="inlineStr">
        <is>
          <t>Unusually complete evidence trail for a tiny product: PRD, research pack, plan, backlog, live URL, and browser proof.</t>
        </is>
      </c>
      <c r="N55" s="44" t="inlineStr">
        <is>
          <t>Workflow chain map + artifact gallery</t>
        </is>
      </c>
      <c r="O55" s="44" t="inlineStr">
        <is>
          <t>Article; Breadcrumb</t>
        </is>
      </c>
      <c r="P55" s="44" t="inlineStr">
        <is>
          <t>Chain steps; artifact list; validation summary</t>
        </is>
      </c>
      <c r="Q55" s="44" t="inlineStr">
        <is>
          <t>choice-compass README, PRD, research pack, plan, acceptance outputs</t>
        </is>
      </c>
      <c r="R55" s="44" t="inlineStr">
        <is>
          <t>/proof; /resources</t>
        </is>
      </c>
      <c r="S55" s="44" t="inlineStr">
        <is>
          <t>/resources/workflow-chain-library; /playbooks/repo-activity-to-public-diary; /proof/orchestrator-workers-demo</t>
        </is>
      </c>
      <c r="T55" s="44" t="inlineStr">
        <is>
          <t>Index</t>
        </is>
      </c>
      <c r="U55" s="44" t="inlineStr">
        <is>
          <t>P1</t>
        </is>
      </c>
      <c r="V55" s="44" t="inlineStr">
        <is>
          <t>M</t>
        </is>
      </c>
      <c r="W55" s="44" t="inlineStr">
        <is>
          <t>H</t>
        </is>
      </c>
      <c r="X55" s="44" t="inlineStr">
        <is>
          <t>Process-curious traffic and assisted conversion into workflow resources</t>
        </is>
      </c>
      <c r="Y55" s="21" t="inlineStr">
        <is>
          <t>/Users/rajeev/Code/choice-compass/README.md ; /Users/rajeev/Code/choice-compass/docs/product-specs/choice-compass-research.md</t>
        </is>
      </c>
    </row>
    <row r="56" ht="119.62890625" customHeight="1">
      <c r="A56" s="20" t="inlineStr">
        <is>
          <t>A53</t>
        </is>
      </c>
      <c r="B56" s="44" t="inlineStr">
        <is>
          <t>New</t>
        </is>
      </c>
      <c r="C56" s="44" t="inlineStr">
        <is>
          <t>Cluster</t>
        </is>
      </c>
      <c r="D56" s="44" t="inlineStr">
        <is>
          <t>Reliable AI usage</t>
        </is>
      </c>
      <c r="E56" s="44" t="inlineStr">
        <is>
          <t>Review systems</t>
        </is>
      </c>
      <c r="F56" s="44" t="inlineStr">
        <is>
          <t>Observations, inferences, and ship scores: how lightweight AI review tools stay useful</t>
        </is>
      </c>
      <c r="G56" s="44" t="inlineStr">
        <is>
          <t>/playbooks/observations-inference-and-ship-scores</t>
        </is>
      </c>
      <c r="H56" s="44" t="inlineStr">
        <is>
          <t>Tactical guide</t>
        </is>
      </c>
      <c r="I56" s="44" t="inlineStr">
        <is>
          <t>Indie makers; consultants; AI tool builders</t>
        </is>
      </c>
      <c r="J56" s="44" t="inlineStr">
        <is>
          <t>Build review tools that separate observation from interpretation and make scores explainable.</t>
        </is>
      </c>
      <c r="K56" s="44" t="inlineStr">
        <is>
          <t>Workflow search / AI review search</t>
        </is>
      </c>
      <c r="L56" s="44" t="inlineStr">
        <is>
          <t>Informational + guide</t>
        </is>
      </c>
      <c r="M56" s="44" t="inlineStr">
        <is>
          <t>Grounded in a product that explicitly separates observed facts, inferred critique, and an explainable ship-readiness rubric.</t>
        </is>
      </c>
      <c r="N56" s="44" t="inlineStr">
        <is>
          <t>Observed-vs-inferred output anatomy</t>
        </is>
      </c>
      <c r="O56" s="44" t="inlineStr">
        <is>
          <t>Article; Breadcrumb</t>
        </is>
      </c>
      <c r="P56" s="44" t="inlineStr">
        <is>
          <t>Rubric criteria; output sections; failure-message templates</t>
        </is>
      </c>
      <c r="Q56" s="44" t="inlineStr">
        <is>
          <t>proof-pack README and PRD</t>
        </is>
      </c>
      <c r="R56" s="44" t="inlineStr">
        <is>
          <t>/playbooks; /proof</t>
        </is>
      </c>
      <c r="S56" s="44" t="inlineStr">
        <is>
          <t>/ai/fact-inference-ambiguity-framework; /proof/choice-compass-harness-build-log; /proof/automation-hub-control-plane</t>
        </is>
      </c>
      <c r="T56" s="44" t="inlineStr">
        <is>
          <t>Index</t>
        </is>
      </c>
      <c r="U56" s="44" t="inlineStr">
        <is>
          <t>P2</t>
        </is>
      </c>
      <c r="V56" s="44" t="inlineStr">
        <is>
          <t>M</t>
        </is>
      </c>
      <c r="W56" s="44" t="inlineStr">
        <is>
          <t>M</t>
        </is>
      </c>
      <c r="X56" s="44" t="inlineStr">
        <is>
          <t>Qualified traffic from tool builders and launch-review users</t>
        </is>
      </c>
      <c r="Y56" s="21" t="inlineStr">
        <is>
          <t>/Users/rajeev/Code/proof-pack/README.md ; /Users/rajeev/Code/proof-pack/docs/prd/proof-pack-mvp.md</t>
        </is>
      </c>
    </row>
    <row r="57" ht="119.62890625" customHeight="1">
      <c r="A57" s="20" t="inlineStr">
        <is>
          <t>A54</t>
        </is>
      </c>
      <c r="B57" s="44" t="inlineStr">
        <is>
          <t>New</t>
        </is>
      </c>
      <c r="C57" s="44" t="inlineStr">
        <is>
          <t>Resource / dataset</t>
        </is>
      </c>
      <c r="D57" s="44" t="inlineStr">
        <is>
          <t>Reusable assets</t>
        </is>
      </c>
      <c r="E57" s="44" t="inlineStr">
        <is>
          <t>Workflow chains</t>
        </is>
      </c>
      <c r="F57" s="44" t="inlineStr">
        <is>
          <t>The workflow chain library: proven build sequences from repo bootstrap to acceptance proof</t>
        </is>
      </c>
      <c r="G57" s="44" t="inlineStr">
        <is>
          <t>/resources/workflow-chain-library</t>
        </is>
      </c>
      <c r="H57" s="44" t="inlineStr">
        <is>
          <t>Curated resource</t>
        </is>
      </c>
      <c r="I57" s="44" t="inlineStr">
        <is>
          <t>Agent users; solo builders; technical operators</t>
        </is>
      </c>
      <c r="J57" s="44" t="inlineStr">
        <is>
          <t>Pick the right chain for greenfield builds, bugs, docs sweeps, proof, or shipping.</t>
        </is>
      </c>
      <c r="K57" s="44" t="inlineStr">
        <is>
          <t>Entity-led discovery / workflow search</t>
        </is>
      </c>
      <c r="L57" s="44" t="inlineStr">
        <is>
          <t>Informational + resource</t>
        </is>
      </c>
      <c r="M57" s="44" t="inlineStr">
        <is>
          <t>Built from workspace guidance and real repo evidence rather than abstract skill lists.</t>
        </is>
      </c>
      <c r="N57" s="44" t="inlineStr">
        <is>
          <t>Chain map + entrypoint chooser</t>
        </is>
      </c>
      <c r="O57" s="44" t="inlineStr">
        <is>
          <t>Article; Breadcrumb; ItemList</t>
        </is>
      </c>
      <c r="P57" s="44" t="inlineStr">
        <is>
          <t>Chain definitions; prerequisites; outputs; validation expectations</t>
        </is>
      </c>
      <c r="Q57" s="44" t="inlineStr">
        <is>
          <t>Code workspace guide, tools repo, workflow-garden, choice-compass proof trail</t>
        </is>
      </c>
      <c r="R57" s="44" t="inlineStr">
        <is>
          <t>/resources; /ai; /playbooks</t>
        </is>
      </c>
      <c r="S57" s="44" t="inlineStr">
        <is>
          <t>/resources/qmd-memory-system; /resources/agentic-workflow-stack; /proof/choice-compass-harness-build-log</t>
        </is>
      </c>
      <c r="T57" s="44" t="inlineStr">
        <is>
          <t>Index</t>
        </is>
      </c>
      <c r="U57" s="44" t="inlineStr">
        <is>
          <t>P1</t>
        </is>
      </c>
      <c r="V57" s="44" t="inlineStr">
        <is>
          <t>M</t>
        </is>
      </c>
      <c r="W57" s="44" t="inlineStr">
        <is>
          <t>H</t>
        </is>
      </c>
      <c r="X57" s="44" t="inlineStr">
        <is>
          <t>Entity-led discovery and strong internal-link assists across the site</t>
        </is>
      </c>
      <c r="Y57" s="21" t="inlineStr">
        <is>
          <t>/Users/rajeev/Code/README.md ; /Users/rajeev/Code/tools/README.md ; /Users/rajeev/Code/choice-compass/README.md</t>
        </is>
      </c>
    </row>
    <row r="58" ht="119.62890625" customHeight="1">
      <c r="A58" s="20" t="inlineStr">
        <is>
          <t>A55</t>
        </is>
      </c>
      <c r="B58" s="44" t="inlineStr">
        <is>
          <t>New</t>
        </is>
      </c>
      <c r="C58" s="44" t="inlineStr">
        <is>
          <t>Resource / dataset</t>
        </is>
      </c>
      <c r="D58" s="44" t="inlineStr">
        <is>
          <t>Reusable assets</t>
        </is>
      </c>
      <c r="E58" s="44" t="inlineStr">
        <is>
          <t>Memory systems</t>
        </is>
      </c>
      <c r="F58" s="44" t="inlineStr">
        <is>
          <t>QMD memory systems: how to mirror markdown so agents retrieve the right context</t>
        </is>
      </c>
      <c r="G58" s="44" t="inlineStr">
        <is>
          <t>/resources/qmd-memory-system</t>
        </is>
      </c>
      <c r="H58" s="44" t="inlineStr">
        <is>
          <t>Guide + resource</t>
        </is>
      </c>
      <c r="I58" s="44" t="inlineStr">
        <is>
          <t>Advanced agent users; workflow builders</t>
        </is>
      </c>
      <c r="J58" s="44" t="inlineStr">
        <is>
          <t>Build a durable markdown memory layer without losing source-of-truth files.</t>
        </is>
      </c>
      <c r="K58" s="44" t="inlineStr">
        <is>
          <t>Technical search / agent memory search</t>
        </is>
      </c>
      <c r="L58" s="44" t="inlineStr">
        <is>
          <t>Informational + resource</t>
        </is>
      </c>
      <c r="M58" s="44" t="inlineStr">
        <is>
          <t>Grounded in an actual mirrored memory setup with collections, refresh scripts, and drift rules.</t>
        </is>
      </c>
      <c r="N58" s="44" t="inlineStr">
        <is>
          <t>Memory architecture diagram</t>
        </is>
      </c>
      <c r="O58" s="44" t="inlineStr">
        <is>
          <t>Article; Breadcrumb</t>
        </is>
      </c>
      <c r="P58" s="44" t="inlineStr">
        <is>
          <t>Collection definitions; refresh commands; source rules</t>
        </is>
      </c>
      <c r="Q58" s="44" t="inlineStr">
        <is>
          <t>system-memory README, qmd mirror conventions, tooling notes</t>
        </is>
      </c>
      <c r="R58" s="44" t="inlineStr">
        <is>
          <t>/resources; /ai</t>
        </is>
      </c>
      <c r="S58" s="44" t="inlineStr">
        <is>
          <t>/playbooks/repo-activity-to-public-diary; /resources/workflow-chain-library; /resources/agentic-workflow-stack</t>
        </is>
      </c>
      <c r="T58" s="44" t="inlineStr">
        <is>
          <t>Index</t>
        </is>
      </c>
      <c r="U58" s="44" t="inlineStr">
        <is>
          <t>P2</t>
        </is>
      </c>
      <c r="V58" s="44" t="inlineStr">
        <is>
          <t>M</t>
        </is>
      </c>
      <c r="W58" s="44" t="inlineStr">
        <is>
          <t>M</t>
        </is>
      </c>
      <c r="X58" s="44" t="inlineStr">
        <is>
          <t>Technical discovery and repeat-reference behavior</t>
        </is>
      </c>
      <c r="Y58" s="21" t="inlineStr">
        <is>
          <t>/Users/rajeev/Code/system-memory/README.md ; /Users/rajeev/Code/tools/README.md</t>
        </is>
      </c>
    </row>
    <row r="59" ht="119.62890625" customHeight="1">
      <c r="A59" s="20" t="inlineStr">
        <is>
          <t>A56</t>
        </is>
      </c>
      <c r="B59" s="44" t="inlineStr">
        <is>
          <t>New</t>
        </is>
      </c>
      <c r="C59" s="44" t="inlineStr">
        <is>
          <t>Proof / case study</t>
        </is>
      </c>
      <c r="D59" s="44" t="inlineStr">
        <is>
          <t>Agentic engineering</t>
        </is>
      </c>
      <c r="E59" s="44" t="inlineStr">
        <is>
          <t>Orchestration demos</t>
        </is>
      </c>
      <c r="F59" s="44" t="inlineStr">
        <is>
          <t>The orchestrator-workers demo that makes multi-agent value legible</t>
        </is>
      </c>
      <c r="G59" s="44" t="inlineStr">
        <is>
          <t>/proof/orchestrator-workers-demo</t>
        </is>
      </c>
      <c r="H59" s="44" t="inlineStr">
        <is>
          <t>Case study</t>
        </is>
      </c>
      <c r="I59" s="44" t="inlineStr">
        <is>
          <t>AI-curious operators; demo builders; technical storytellers</t>
        </is>
      </c>
      <c r="J59" s="44" t="inlineStr">
        <is>
          <t>Show why visible planning, specialist workers, and a single-agent baseline make orchestration understandable.</t>
        </is>
      </c>
      <c r="K59" s="44" t="inlineStr">
        <is>
          <t>Proof-led discovery / multi-agent search</t>
        </is>
      </c>
      <c r="L59" s="44" t="inlineStr">
        <is>
          <t>Informational + proof</t>
        </is>
      </c>
      <c r="M59" s="44" t="inlineStr">
        <is>
          <t>Productizes the orchestration trace itself so the user can see why coordination beats a single-pass run.</t>
        </is>
      </c>
      <c r="N59" s="44" t="inlineStr">
        <is>
          <t>Orchestrator-vs-baseline comparison</t>
        </is>
      </c>
      <c r="O59" s="44" t="inlineStr">
        <is>
          <t>Article; Breadcrumb</t>
        </is>
      </c>
      <c r="P59" s="44" t="inlineStr">
        <is>
          <t>Stage schema; worker contract summary; baseline comparison table</t>
        </is>
      </c>
      <c r="Q59" s="44" t="inlineStr">
        <is>
          <t>multi-agent-orchestration-demo README, pattern notes, live deployment behavior</t>
        </is>
      </c>
      <c r="R59" s="44" t="inlineStr">
        <is>
          <t>/proof; /ai</t>
        </is>
      </c>
      <c r="S59" s="44" t="inlineStr">
        <is>
          <t>/ai/from-vibe-coding-to-agentic-engineering; /resources/agentic-workflow-stack; /resources/workflow-chain-library</t>
        </is>
      </c>
      <c r="T59" s="44" t="inlineStr">
        <is>
          <t>Index</t>
        </is>
      </c>
      <c r="U59" s="44" t="inlineStr">
        <is>
          <t>P2</t>
        </is>
      </c>
      <c r="V59" s="44" t="inlineStr">
        <is>
          <t>M</t>
        </is>
      </c>
      <c r="W59" s="44" t="inlineStr">
        <is>
          <t>M</t>
        </is>
      </c>
      <c r="X59" s="44" t="inlineStr">
        <is>
          <t>Proof engagement from orchestration-curious visitors</t>
        </is>
      </c>
      <c r="Y59" s="21" t="inlineStr">
        <is>
          <t>/Users/rajeev/Code/multi-agent-orchestration-demo/README.md ; /Users/rajeev/Code/multi-agent-orchestration-demo/docs/references/multi-agent-patterns-and-frameworks.md</t>
        </is>
      </c>
    </row>
    <row r="60" ht="119.62890625" customHeight="1">
      <c r="A60" s="20" t="inlineStr">
        <is>
          <t>A57</t>
        </is>
      </c>
      <c r="B60" s="44" t="inlineStr">
        <is>
          <t>New</t>
        </is>
      </c>
      <c r="C60" s="44" t="inlineStr">
        <is>
          <t>Resource / dataset</t>
        </is>
      </c>
      <c r="D60" s="44" t="inlineStr">
        <is>
          <t>Reusable assets</t>
        </is>
      </c>
      <c r="E60" s="44" t="inlineStr">
        <is>
          <t>Stack curation</t>
        </is>
      </c>
      <c r="F60" s="44" t="inlineStr">
        <is>
          <t>The repos, libraries, and tools behind this workflow stack</t>
        </is>
      </c>
      <c r="G60" s="44" t="inlineStr">
        <is>
          <t>/resources/agentic-workflow-stack</t>
        </is>
      </c>
      <c r="H60" s="44" t="inlineStr">
        <is>
          <t>Curated resource page</t>
        </is>
      </c>
      <c r="I60" s="44" t="inlineStr">
        <is>
          <t>Builders; advanced operators; curious collaborators</t>
        </is>
      </c>
      <c r="J60" s="44" t="inlineStr">
        <is>
          <t>Understand which tools, libraries, frameworks, and repos recur across the projects and why they earn a slot.</t>
        </is>
      </c>
      <c r="K60" s="44" t="inlineStr">
        <is>
          <t>Comparative discovery / resource search / AI search</t>
        </is>
      </c>
      <c r="L60" s="44" t="inlineStr">
        <is>
          <t>Informational + curated resource</t>
        </is>
      </c>
      <c r="M60" s="44" t="inlineStr">
        <is>
          <t>Ties every stack element to actual use cases, proof pages, and constraints instead of generic top-tools listicles.</t>
        </is>
      </c>
      <c r="N60" s="44" t="inlineStr">
        <is>
          <t>Stack constellation map</t>
        </is>
      </c>
      <c r="O60" s="44" t="inlineStr">
        <is>
          <t>Article; Breadcrumb; ItemList</t>
        </is>
      </c>
      <c r="P60" s="44" t="inlineStr">
        <is>
          <t>Stack profiles; where-used table; best-for/not-for fields</t>
        </is>
      </c>
      <c r="Q60" s="44" t="inlineStr">
        <is>
          <t>tools README, pi-mono packages, mini-lit, browser benchmark workspace, karpathy project reports</t>
        </is>
      </c>
      <c r="R60" s="44" t="inlineStr">
        <is>
          <t>/resources; /ai; /projects</t>
        </is>
      </c>
      <c r="S60" s="44" t="inlineStr">
        <is>
          <t>/playbooks/web-components-for-design-systems; /benchmarks/model-intelligence-guide; /benchmarks/browser-automation-tools</t>
        </is>
      </c>
      <c r="T60" s="44" t="inlineStr">
        <is>
          <t>Index</t>
        </is>
      </c>
      <c r="U60" s="44" t="inlineStr">
        <is>
          <t>P2</t>
        </is>
      </c>
      <c r="V60" s="44" t="inlineStr">
        <is>
          <t>M</t>
        </is>
      </c>
      <c r="W60" s="44" t="inlineStr">
        <is>
          <t>M</t>
        </is>
      </c>
      <c r="X60" s="44" t="inlineStr">
        <is>
          <t>High-quality resource traffic and lateral exploration across projects</t>
        </is>
      </c>
      <c r="Y60" s="21" t="inlineStr">
        <is>
          <t>/Users/rajeev/Code/tools/README.md ; /Users/rajeev/Code/pi-mono/README.md ; /Users/rajeev/Code/karpathy-projects/reports/README.md ; /Users/rajeev/Code/browser-automation-tools/README.md</t>
        </is>
      </c>
    </row>
    <row r="61" ht="119.62890625" customHeight="1">
      <c r="A61" s="20" t="inlineStr">
        <is>
          <t>A58</t>
        </is>
      </c>
      <c r="B61" s="44" t="inlineStr">
        <is>
          <t>New</t>
        </is>
      </c>
      <c r="C61" s="44" t="inlineStr">
        <is>
          <t>Cluster</t>
        </is>
      </c>
      <c r="D61" s="44" t="inlineStr">
        <is>
          <t>Applied AI strategy</t>
        </is>
      </c>
      <c r="E61" s="44" t="inlineStr">
        <is>
          <t>Research briefings</t>
        </is>
      </c>
      <c r="F61" s="44" t="inlineStr">
        <is>
          <t>What running nanoGPT, nanochat, and autoresearch locally teaches you about real AI workflows</t>
        </is>
      </c>
      <c r="G61" s="44" t="inlineStr">
        <is>
          <t>/ai/running-model-research-repos-locally</t>
        </is>
      </c>
      <c r="H61" s="44" t="inlineStr">
        <is>
          <t>Briefing / teardown</t>
        </is>
      </c>
      <c r="I61" s="44" t="inlineStr">
        <is>
          <t>AI practitioners; curious operators</t>
        </is>
      </c>
      <c r="J61" s="44" t="inlineStr">
        <is>
          <t>Translate hands-on repo experiments into practical lessons about model training, chat UX, and automated research.</t>
        </is>
      </c>
      <c r="K61" s="44" t="inlineStr">
        <is>
          <t>Research-led discovery / AI learning search</t>
        </is>
      </c>
      <c r="L61" s="44" t="inlineStr">
        <is>
          <t>Informational + teardown</t>
        </is>
      </c>
      <c r="M61" s="44" t="inlineStr">
        <is>
          <t>Connects local proof, Apple Silicon setup friction, and opportunity mapping to practical workflow implications.</t>
        </is>
      </c>
      <c r="N61" s="44" t="inlineStr">
        <is>
          <t>Capability map across local research repos</t>
        </is>
      </c>
      <c r="O61" s="44" t="inlineStr">
        <is>
          <t>Article; Breadcrumb</t>
        </is>
      </c>
      <c r="P61" s="44" t="inlineStr">
        <is>
          <t>Project comparison table; setup findings; opportunity map</t>
        </is>
      </c>
      <c r="Q61" s="44" t="inlineStr">
        <is>
          <t>karpathy-projects README, local reports, artifact bundle</t>
        </is>
      </c>
      <c r="R61" s="44" t="inlineStr">
        <is>
          <t>/ai; /resources</t>
        </is>
      </c>
      <c r="S61" s="44" t="inlineStr">
        <is>
          <t>/resources/agentic-workflow-stack; /ai/from-vibe-coding-to-agentic-engineering; /proof/orchestrator-workers-demo</t>
        </is>
      </c>
      <c r="T61" s="44" t="inlineStr">
        <is>
          <t>Index</t>
        </is>
      </c>
      <c r="U61" s="44" t="inlineStr">
        <is>
          <t>P3</t>
        </is>
      </c>
      <c r="V61" s="44" t="inlineStr">
        <is>
          <t>M</t>
        </is>
      </c>
      <c r="W61" s="44" t="inlineStr">
        <is>
          <t>M</t>
        </is>
      </c>
      <c r="X61" s="44" t="inlineStr">
        <is>
          <t>Long-tail learning traffic and stack-page assists</t>
        </is>
      </c>
      <c r="Y61" s="21" t="inlineStr">
        <is>
          <t>/Users/rajeev/Code/karpathy-projects/README.md ; /Users/rajeev/Code/karpathy-projects/reports/README.md</t>
        </is>
      </c>
    </row>
  </sheetData>
  <mergeCells count="2">
    <mergeCell ref="A2:Y2"/>
    <mergeCell ref="A1:Y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6.43000030517578" customWidth="1" min="1" max="1"/>
    <col width="16.43000030517578" customWidth="1" min="2" max="2"/>
    <col width="30.70999908447266" customWidth="1" min="3" max="3"/>
    <col width="30.70999908447266" customWidth="1" min="4" max="4"/>
    <col width="20.70999908447266" customWidth="1" min="5" max="5"/>
    <col width="16.43000030517578" customWidth="1" min="6" max="6"/>
    <col width="33.56999969482422" customWidth="1" min="7" max="7"/>
  </cols>
  <sheetData>
    <row r="1">
      <c r="A1" s="31" t="inlineStr">
        <is>
          <t>Kill / merge / rewrite decisions on the raw article ideas</t>
        </is>
      </c>
    </row>
    <row r="2">
      <c r="A2" s="35" t="inlineStr">
        <is>
          <t>This sheet converts the raw input list into a sharper editorial system. Strong topics are retained, but many titles are renamed, merged, or reframed so they can support a durable content architecture instead of a loose post backlog.</t>
        </is>
      </c>
    </row>
    <row r="3" ht="17.08984375" customHeight="1">
      <c r="A3" s="40" t="inlineStr">
        <is>
          <t>Raw_title</t>
        </is>
      </c>
      <c r="B3" s="41" t="inlineStr">
        <is>
          <t>Verdict</t>
        </is>
      </c>
      <c r="C3" s="41" t="inlineStr">
        <is>
          <t>Issue</t>
        </is>
      </c>
      <c r="D3" s="41" t="inlineStr">
        <is>
          <t>Recommended_title</t>
        </is>
      </c>
      <c r="E3" s="41" t="inlineStr">
        <is>
          <t>Best_format</t>
        </is>
      </c>
      <c r="F3" s="41" t="inlineStr">
        <is>
          <t>System_role</t>
        </is>
      </c>
      <c r="G3" s="42" t="inlineStr">
        <is>
          <t>Notes</t>
        </is>
      </c>
    </row>
    <row r="4" ht="85.44921875" customHeight="1">
      <c r="A4" s="16" t="inlineStr">
        <is>
          <t>Why to use AI + web search (due to training data limitations content coverage/cut-off, hallucinations and for specific data access e.g. API docs)</t>
        </is>
      </c>
      <c r="B4" s="43" t="inlineStr">
        <is>
          <t>Rewrite and elevate</t>
        </is>
      </c>
      <c r="C4" s="43" t="inlineStr">
        <is>
          <t>Strong insight but framed as a generic explainer; needs a sharper operator-focused promise.</t>
        </is>
      </c>
      <c r="D4" s="43" t="inlineStr">
        <is>
          <t>Why AI + web search beats closed-model prompting for real work</t>
        </is>
      </c>
      <c r="E4" s="43" t="inlineStr">
        <is>
          <t>Flagship essay + annotated workflow diagram</t>
        </is>
      </c>
      <c r="F4" s="43" t="inlineStr">
        <is>
          <t>Flagship</t>
        </is>
      </c>
      <c r="G4" s="17" t="inlineStr">
        <is>
          <t>Use concrete examples: API docs, live product data, fast-moving policy changes, analytics/debugging workflows.</t>
        </is>
      </c>
    </row>
    <row r="5" ht="85.44921875" customHeight="1">
      <c r="A5" s="18" t="inlineStr">
        <is>
          <t>Simulating APIs with CSVs etc (helpful for people working with sensitive data, who need dummy data for testing, synthetic data, etc)</t>
        </is>
      </c>
      <c r="B5" s="4" t="inlineStr">
        <is>
          <t>Keep and deepen</t>
        </is>
      </c>
      <c r="C5" s="4" t="inlineStr">
        <is>
          <t>Good practical hook; broaden from CSVs to safe interface simulation and synthetic data workflows.</t>
        </is>
      </c>
      <c r="D5" s="4" t="inlineStr">
        <is>
          <t>Simulating APIs with CSVs, fixtures, and synthetic data when production access is risky</t>
        </is>
      </c>
      <c r="E5" s="4" t="inlineStr">
        <is>
          <t>Tactical guide + downloadable templates</t>
        </is>
      </c>
      <c r="F5" s="4" t="inlineStr">
        <is>
          <t>Cluster</t>
        </is>
      </c>
      <c r="G5" s="19" t="inlineStr">
        <is>
          <t>Include patterns for QA, demos, stakeholder reviews, and agent-safe development.</t>
        </is>
      </c>
    </row>
    <row r="6" ht="153.80859375" customHeight="1">
      <c r="A6" s="18" t="inlineStr">
        <is>
          <t>Agents.md! And how utterly powerful it is if you give it the paths to files that contain: tool maps and doc on how to use them. The agents file simply tells the agent when it should use each tool an where it can find the tools capabilities, instructions, readiness status, etc</t>
        </is>
      </c>
      <c r="B6" s="4" t="inlineStr">
        <is>
          <t>Keep, rename, and systematize</t>
        </is>
      </c>
      <c r="C6" s="4" t="inlineStr">
        <is>
          <t>Powerful idea but too informal and too file-name specific for a top-level title.</t>
        </is>
      </c>
      <c r="D6" s="4" t="inlineStr">
        <is>
          <t>Agents.md, tool maps, and workflow docs: how to make coding agents reliably useful</t>
        </is>
      </c>
      <c r="E6" s="4" t="inlineStr">
        <is>
          <t>Tactical guide + interactive architecture map</t>
        </is>
      </c>
      <c r="F6" s="4" t="inlineStr">
        <is>
          <t>Cluster</t>
        </is>
      </c>
      <c r="G6" s="19" t="inlineStr">
        <is>
          <t>Explain the design pattern, not just the file. Show readiness states, routing rules, and failure modes.</t>
        </is>
      </c>
    </row>
    <row r="7" ht="68.359375" customHeight="1">
      <c r="A7" s="18" t="inlineStr">
        <is>
          <t>How the process of Feasibility and documentation research + optimised prompt + build reduces risk of undesirable LLM results</t>
        </is>
      </c>
      <c r="B7" s="4" t="inlineStr">
        <is>
          <t>Keep and simplify</t>
        </is>
      </c>
      <c r="C7" s="4" t="inlineStr">
        <is>
          <t>Concept is strong but title is long and awkward.</t>
        </is>
      </c>
      <c r="D7" s="4" t="inlineStr">
        <is>
          <t>The feasibility -&gt; documentation -&gt; prompt -&gt; build loop that reduces LLM failure</t>
        </is>
      </c>
      <c r="E7" s="4" t="inlineStr">
        <is>
          <t>Tactical guide + workflow visual</t>
        </is>
      </c>
      <c r="F7" s="4" t="inlineStr">
        <is>
          <t>Cluster</t>
        </is>
      </c>
      <c r="G7" s="19" t="inlineStr">
        <is>
          <t>Frame as risk reduction and prototype quality control.</t>
        </is>
      </c>
    </row>
    <row r="8" ht="85.44921875" customHeight="1">
      <c r="A8" s="18" t="inlineStr">
        <is>
          <t>What are tokens, what is context: Context window management and why! Optimal tasks sizing for llms, when to use large vs small prompts and why</t>
        </is>
      </c>
      <c r="B8" s="4" t="inlineStr">
        <is>
          <t>Keep, split into hub + calculator</t>
        </is>
      </c>
      <c r="C8" s="4" t="inlineStr">
        <is>
          <t>Too broad for one post; combine theory, heuristics, and tooling.</t>
        </is>
      </c>
      <c r="D8" s="4" t="inlineStr">
        <is>
          <t>Tokens, context windows, and task sizing: how to stop wasting model context</t>
        </is>
      </c>
      <c r="E8" s="4" t="inlineStr">
        <is>
          <t>Guide + calculator</t>
        </is>
      </c>
      <c r="F8" s="4" t="inlineStr">
        <is>
          <t>Cluster + Interactive</t>
        </is>
      </c>
      <c r="G8" s="19" t="inlineStr">
        <is>
          <t>Pair editorial explanation with a context budget calculator and chunking examples.</t>
        </is>
      </c>
    </row>
    <row r="9" ht="85.44921875" customHeight="1">
      <c r="A9" s="18" t="inlineStr">
        <is>
          <t>From vibe coding to agentic engineering, platforms techniques, suitability (from bolt and replit to coding agents with tool use)</t>
        </is>
      </c>
      <c r="B9" s="4" t="inlineStr">
        <is>
          <t>Keep as flagship</t>
        </is>
      </c>
      <c r="C9" s="4" t="inlineStr">
        <is>
          <t>Very strong strategic topic; needs a cleaner title and clearer comparison framework.</t>
        </is>
      </c>
      <c r="D9" s="4" t="inlineStr">
        <is>
          <t>From vibe coding to agentic engineering</t>
        </is>
      </c>
      <c r="E9" s="4" t="inlineStr">
        <is>
          <t>Flagship essay + comparison explorer</t>
        </is>
      </c>
      <c r="F9" s="4" t="inlineStr">
        <is>
          <t>Flagship</t>
        </is>
      </c>
      <c r="G9" s="19" t="inlineStr">
        <is>
          <t>Should become a signature point-of-view page with frameworks, not just trend commentary.</t>
        </is>
      </c>
    </row>
    <row r="10" ht="85.44921875" customHeight="1">
      <c r="A10" s="18" t="inlineStr">
        <is>
          <t>How chatgpt uses tools and code execution to do clever stuff and get deterministic results (code interpreter, agent skills)</t>
        </is>
      </c>
      <c r="B10" s="4" t="inlineStr">
        <is>
          <t>Keep with vendor-neutral framing</t>
        </is>
      </c>
      <c r="C10" s="4" t="inlineStr">
        <is>
          <t>Potentially too product-specific unless framed around tool-using assistants more broadly.</t>
        </is>
      </c>
      <c r="D10" s="4" t="inlineStr">
        <is>
          <t>How tool-using AI assistants get more deterministic results</t>
        </is>
      </c>
      <c r="E10" s="4" t="inlineStr">
        <is>
          <t>Guide + annotated architecture diagram</t>
        </is>
      </c>
      <c r="F10" s="4" t="inlineStr">
        <is>
          <t>Cluster</t>
        </is>
      </c>
      <c r="G10" s="19" t="inlineStr">
        <is>
          <t>Use ChatGPT as a concrete example, but teach the more general model/tool/code-execution pattern.</t>
        </is>
      </c>
    </row>
    <row r="11" ht="68.359375" customHeight="1">
      <c r="A11" s="18" t="inlineStr">
        <is>
          <t>The limits and risks of vibe coding, tool use (rce, prompt injection)</t>
        </is>
      </c>
      <c r="B11" s="4" t="inlineStr">
        <is>
          <t>Keep and sharpen</t>
        </is>
      </c>
      <c r="C11" s="4" t="inlineStr">
        <is>
          <t>Important but should not read as fear content.</t>
        </is>
      </c>
      <c r="D11" s="4" t="inlineStr">
        <is>
          <t>The real risks of vibe coding: prompt injection, unsafe tool use, and false confidence</t>
        </is>
      </c>
      <c r="E11" s="4" t="inlineStr">
        <is>
          <t>Guide / risk briefing</t>
        </is>
      </c>
      <c r="F11" s="4" t="inlineStr">
        <is>
          <t>Cluster</t>
        </is>
      </c>
      <c r="G11" s="19" t="inlineStr">
        <is>
          <t>Anchor in practical mitigation patterns and review checklists.</t>
        </is>
      </c>
    </row>
    <row r="12" ht="119.62890625" customHeight="1">
      <c r="A12" s="18" t="inlineStr">
        <is>
          <t>Progression of LLMs from basic text generation to sophisticated software automation (larger context windows, reasoning, tool use) Evolution of LLM usefulness over time (from text generation, to multimodal, to tool-use)</t>
        </is>
      </c>
      <c r="B12" s="4" t="inlineStr">
        <is>
          <t>Merge</t>
        </is>
      </c>
      <c r="C12" s="4" t="inlineStr">
        <is>
          <t>Useful background, but too history-heavy as a standalone page.</t>
        </is>
      </c>
      <c r="D12" s="4" t="inlineStr">
        <is>
          <t>Merge into: From vibe coding to agentic engineering</t>
        </is>
      </c>
      <c r="E12" s="4" t="inlineStr">
        <is>
          <t>Section / visual timeline</t>
        </is>
      </c>
      <c r="F12" s="4" t="inlineStr">
        <is>
          <t>Support inside flagship</t>
        </is>
      </c>
      <c r="G12" s="19" t="inlineStr">
        <is>
          <t>Best used as a short visual timeline, not a separate SEO target.</t>
        </is>
      </c>
    </row>
    <row r="13" ht="102.5390625" customHeight="1">
      <c r="A13" s="18" t="inlineStr">
        <is>
          <t>How to leverage how LLMs generate text- (literally just ask them to categorise their claims by: proven fact- strong inference- weak inference / unresolved ambiguity)</t>
        </is>
      </c>
      <c r="B13" s="4" t="inlineStr">
        <is>
          <t>Keep as distinctive framework</t>
        </is>
      </c>
      <c r="C13" s="4" t="inlineStr">
        <is>
          <t>Excellent original angle; needs clearer framing.</t>
        </is>
      </c>
      <c r="D13" s="4" t="inlineStr">
        <is>
          <t>A simple framework for making LLM outputs more trustworthy: fact, inference, or ambiguity?</t>
        </is>
      </c>
      <c r="E13" s="4" t="inlineStr">
        <is>
          <t>Tactical guide + reusable prompt block</t>
        </is>
      </c>
      <c r="F13" s="4" t="inlineStr">
        <is>
          <t>Cluster</t>
        </is>
      </c>
      <c r="G13" s="19" t="inlineStr">
        <is>
          <t>This is differentiating because it converts prompting into epistemic hygiene.</t>
        </is>
      </c>
    </row>
    <row r="14" ht="136.71875" customHeight="1">
      <c r="A14" s="18" t="inlineStr">
        <is>
          <t>Levels of AI adoption/maturity (from using a chatbot, to orchestrating a wide array of tools, software, workflows MCP, CLI, CPI, agent skill, agents md, tool maps, workflow docs, to a fully automated setup - symphony/ralph loops)</t>
        </is>
      </c>
      <c r="B14" s="4" t="inlineStr">
        <is>
          <t>Keep and productize</t>
        </is>
      </c>
      <c r="C14" s="4" t="inlineStr">
        <is>
          <t>Strong strategic topic; should become a visual framework and diagnostic.</t>
        </is>
      </c>
      <c r="D14" s="4" t="inlineStr">
        <is>
          <t>The AI adoption maturity model for operator teams</t>
        </is>
      </c>
      <c r="E14" s="4" t="inlineStr">
        <is>
          <t>Framework essay + interactive diagnostic</t>
        </is>
      </c>
      <c r="F14" s="4" t="inlineStr">
        <is>
          <t>Flagship + Interactive</t>
        </is>
      </c>
      <c r="G14" s="19" t="inlineStr">
        <is>
          <t>A strong candidate for a signature visual asset and lead magnet later.</t>
        </is>
      </c>
    </row>
    <row r="15" ht="102.5390625" customHeight="1">
      <c r="A15" s="18" t="inlineStr">
        <is>
          <t>Levels of automation adoptions/maturity (from in-platform automations codex automations etc &gt; Zapier/N8N &gt; launchd / CRON / Windows Task Scheduler+Windows services)</t>
        </is>
      </c>
      <c r="B15" s="4" t="inlineStr">
        <is>
          <t>Keep as adjacent framework</t>
        </is>
      </c>
      <c r="C15" s="4" t="inlineStr">
        <is>
          <t>Good companion concept; should be narrower than the AI maturity model.</t>
        </is>
      </c>
      <c r="D15" s="4" t="inlineStr">
        <is>
          <t>The automation maturity ladder: from no-code triggers to durable background jobs</t>
        </is>
      </c>
      <c r="E15" s="4" t="inlineStr">
        <is>
          <t>Guide + decision tree</t>
        </is>
      </c>
      <c r="F15" s="4" t="inlineStr">
        <is>
          <t>Cluster</t>
        </is>
      </c>
      <c r="G15" s="19" t="inlineStr">
        <is>
          <t>Useful because it ties tooling choice to operational reliability.</t>
        </is>
      </c>
    </row>
    <row r="16" ht="85.44921875" customHeight="1">
      <c r="A16" s="18" t="inlineStr">
        <is>
          <t>When is AI generated content okay? When is it not? (Generating code verifiable code with guardrails - ok, generating social media content - not ok)</t>
        </is>
      </c>
      <c r="B16" s="4" t="inlineStr">
        <is>
          <t>Keep with stronger nuance</t>
        </is>
      </c>
      <c r="C16" s="4" t="inlineStr">
        <is>
          <t>Topic is crowded; the value must come from a sharp operator lens.</t>
        </is>
      </c>
      <c r="D16" s="4" t="inlineStr">
        <is>
          <t>When AI-generated output is acceptable - and when it quietly destroys trust</t>
        </is>
      </c>
      <c r="E16" s="4" t="inlineStr">
        <is>
          <t>Opinionated guide / checklist</t>
        </is>
      </c>
      <c r="F16" s="4" t="inlineStr">
        <is>
          <t>Cluster</t>
        </is>
      </c>
      <c r="G16" s="19" t="inlineStr">
        <is>
          <t>Differentiate by focusing on verifiability, reviewability, and consequence of error.</t>
        </is>
      </c>
    </row>
    <row r="17" ht="68.359375" customHeight="1">
      <c r="A17" s="18" t="inlineStr">
        <is>
          <t>Anatomy of a good prompt, this is an example of a good prompt that produced the desired outcome first time...</t>
        </is>
      </c>
      <c r="B17" s="4" t="inlineStr">
        <is>
          <t>Rewrite aggressively</t>
        </is>
      </c>
      <c r="C17" s="4" t="inlineStr">
        <is>
          <t>Too long and example-bound in its current form.</t>
        </is>
      </c>
      <c r="D17" s="4" t="inlineStr">
        <is>
          <t>How to write build prompts that produce working software, not impressive-looking code</t>
        </is>
      </c>
      <c r="E17" s="4" t="inlineStr">
        <is>
          <t>Teardown + template</t>
        </is>
      </c>
      <c r="F17" s="4" t="inlineStr">
        <is>
          <t>Cluster / Resource</t>
        </is>
      </c>
      <c r="G17" s="19" t="inlineStr">
        <is>
          <t>Use the Apps Script + CM360 example as a teardown case, not as the title.</t>
        </is>
      </c>
    </row>
    <row r="18" ht="119.62890625" customHeight="1">
      <c r="A18" s="18" t="inlineStr">
        <is>
          <t>Be an orchestrator, not a coder (match up existing technologies (GitHub repos) with business use cases/pain points - instead of building tech from scratch build solutions) dont reinvent the wheel, etc</t>
        </is>
      </c>
      <c r="B18" s="4" t="inlineStr">
        <is>
          <t>Keep as flagship angle</t>
        </is>
      </c>
      <c r="C18" s="4" t="inlineStr">
        <is>
          <t>Very strong commercial point of view; should be elevated.</t>
        </is>
      </c>
      <c r="D18" s="4" t="inlineStr">
        <is>
          <t>Be an orchestrator, not a coder</t>
        </is>
      </c>
      <c r="E18" s="4" t="inlineStr">
        <is>
          <t>Flagship essay + solution pattern library</t>
        </is>
      </c>
      <c r="F18" s="4" t="inlineStr">
        <is>
          <t>Flagship</t>
        </is>
      </c>
      <c r="G18" s="19" t="inlineStr">
        <is>
          <t>Important for attracting business-minded operators, not just hobbyist builders.</t>
        </is>
      </c>
    </row>
    <row r="19" ht="68.359375" customHeight="1">
      <c r="A19" s="18" t="inlineStr">
        <is>
          <t>Token efficiency, how to offload context intensive tasks to cheaper agents (context brokers)</t>
        </is>
      </c>
      <c r="B19" s="4" t="inlineStr">
        <is>
          <t>Keep</t>
        </is>
      </c>
      <c r="C19" s="4" t="inlineStr">
        <is>
          <t>Great advanced topic; better as a deeper supporting page than a top-level pillar.</t>
        </is>
      </c>
      <c r="D19" s="4" t="inlineStr">
        <is>
          <t>Context brokers and token efficiency: how to offload context-heavy work to cheaper agents</t>
        </is>
      </c>
      <c r="E19" s="4" t="inlineStr">
        <is>
          <t>Advanced guide + calculator</t>
        </is>
      </c>
      <c r="F19" s="4" t="inlineStr">
        <is>
          <t>Cluster</t>
        </is>
      </c>
      <c r="G19" s="19" t="inlineStr">
        <is>
          <t>This is distinctive because it is operational, economic, and technical at once.</t>
        </is>
      </c>
    </row>
    <row r="20" ht="51.26953125" customHeight="1">
      <c r="A20" s="20" t="inlineStr">
        <is>
          <t>When to use an automation/tool vs. When to use an agent (with tools/automations)</t>
        </is>
      </c>
      <c r="B20" s="44" t="inlineStr">
        <is>
          <t>Keep and visualize</t>
        </is>
      </c>
      <c r="C20" s="44" t="inlineStr">
        <is>
          <t>Strong decision-framework topic; ideal for interactive treatment.</t>
        </is>
      </c>
      <c r="D20" s="44" t="inlineStr">
        <is>
          <t>When to use an automation, a tool, or an agent</t>
        </is>
      </c>
      <c r="E20" s="44" t="inlineStr">
        <is>
          <t>Decision guide + interactive tree</t>
        </is>
      </c>
      <c r="F20" s="44" t="inlineStr">
        <is>
          <t>Cluster + Interactive</t>
        </is>
      </c>
      <c r="G20" s="21" t="inlineStr">
        <is>
          <t>Likely to perform well for latent need states, not just exact-match search.</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10.71000003814697" customWidth="1" min="1" max="1"/>
    <col width="25" customWidth="1" min="2" max="2"/>
    <col width="16.43000030517578" customWidth="1" min="3" max="3"/>
    <col width="36.43000030517578" customWidth="1" min="4" max="4"/>
    <col width="16.43000030517578" customWidth="1" min="5" max="5"/>
    <col width="9.289999961853027" customWidth="1" min="7" max="7"/>
    <col width="15" customWidth="1" min="8" max="8"/>
    <col width="9.289999961853027" customWidth="1" min="9" max="9"/>
    <col width="42.13999938964844" customWidth="1" min="10" max="10"/>
  </cols>
  <sheetData>
    <row r="1" ht="17.08984375" customHeight="1">
      <c r="A1" s="46" t="inlineStr">
        <is>
          <t>Topic graph: nodes</t>
        </is>
      </c>
    </row>
    <row r="3" ht="17.08984375" customHeight="1">
      <c r="A3" s="24" t="inlineStr">
        <is>
          <t>Node_ID</t>
        </is>
      </c>
      <c r="B3" s="48" t="inlineStr">
        <is>
          <t>Node_Label</t>
        </is>
      </c>
      <c r="C3" s="48" t="inlineStr">
        <is>
          <t>Node_Type</t>
        </is>
      </c>
      <c r="D3" s="48" t="inlineStr">
        <is>
          <t>Description</t>
        </is>
      </c>
      <c r="E3" s="25" t="inlineStr">
        <is>
          <t>Linked_assets</t>
        </is>
      </c>
      <c r="G3" s="24" t="inlineStr">
        <is>
          <t>From</t>
        </is>
      </c>
      <c r="H3" s="48" t="inlineStr">
        <is>
          <t>Relationship</t>
        </is>
      </c>
      <c r="I3" s="48" t="inlineStr">
        <is>
          <t>To</t>
        </is>
      </c>
      <c r="J3" s="25" t="inlineStr">
        <is>
          <t>Why_it_matters</t>
        </is>
      </c>
    </row>
    <row r="4" ht="51.26953125" customHeight="1">
      <c r="A4" s="18" t="inlineStr">
        <is>
          <t>N01</t>
        </is>
      </c>
      <c r="B4" s="4" t="inlineStr">
        <is>
          <t>AI-native delivery systems</t>
        </is>
      </c>
      <c r="C4" s="4" t="inlineStr">
        <is>
          <t>Pillar</t>
        </is>
      </c>
      <c r="D4" s="4" t="inlineStr">
        <is>
          <t>Umbrella operating-model topic for how serious teams use AI to deliver work.</t>
        </is>
      </c>
      <c r="E4" s="19" t="inlineStr">
        <is>
          <t>A01, A02, A14</t>
        </is>
      </c>
      <c r="G4" s="18" t="inlineStr">
        <is>
          <t>N01</t>
        </is>
      </c>
      <c r="H4" s="4" t="inlineStr">
        <is>
          <t>frames</t>
        </is>
      </c>
      <c r="I4" s="4" t="inlineStr">
        <is>
          <t>N02</t>
        </is>
      </c>
      <c r="J4" s="19" t="inlineStr">
        <is>
          <t>The delivery-stack hub should point users into the build-mode and agent-system detail pages.</t>
        </is>
      </c>
    </row>
    <row r="5" ht="51.26953125" customHeight="1">
      <c r="A5" s="18" t="inlineStr">
        <is>
          <t>N02</t>
        </is>
      </c>
      <c r="B5" s="4" t="inlineStr">
        <is>
          <t>Agentic engineering</t>
        </is>
      </c>
      <c r="C5" s="4" t="inlineStr">
        <is>
          <t>Pillar</t>
        </is>
      </c>
      <c r="D5" s="4" t="inlineStr">
        <is>
          <t>Build-system topic covering tool-using agents, build modes, and delivery workflows.</t>
        </is>
      </c>
      <c r="E5" s="19" t="inlineStr">
        <is>
          <t>A03, A07, A11, A16</t>
        </is>
      </c>
      <c r="G5" s="18" t="inlineStr">
        <is>
          <t>N01</t>
        </is>
      </c>
      <c r="H5" s="4" t="inlineStr">
        <is>
          <t>connects_to</t>
        </is>
      </c>
      <c r="I5" s="4" t="inlineStr">
        <is>
          <t>N07</t>
        </is>
      </c>
      <c r="J5" s="19" t="inlineStr">
        <is>
          <t>Business value and orchestration provide the commercial rationale for the stack.</t>
        </is>
      </c>
    </row>
    <row r="6" ht="34.1796875" customHeight="1">
      <c r="A6" s="18" t="inlineStr">
        <is>
          <t>N03</t>
        </is>
      </c>
      <c r="B6" s="4" t="inlineStr">
        <is>
          <t>Reliable AI usage</t>
        </is>
      </c>
      <c r="C6" s="4" t="inlineStr">
        <is>
          <t>Pillar/cluster</t>
        </is>
      </c>
      <c r="D6" s="4" t="inlineStr">
        <is>
          <t>Trust, research, verification, and truthfulness patterns.</t>
        </is>
      </c>
      <c r="E6" s="19" t="inlineStr">
        <is>
          <t>A04, A08, A18</t>
        </is>
      </c>
      <c r="G6" s="18" t="inlineStr">
        <is>
          <t>N01</t>
        </is>
      </c>
      <c r="H6" s="4" t="inlineStr">
        <is>
          <t>uses</t>
        </is>
      </c>
      <c r="I6" s="4" t="inlineStr">
        <is>
          <t>N12</t>
        </is>
      </c>
      <c r="J6" s="19" t="inlineStr">
        <is>
          <t>Maturity framing helps visitors self-locate before diving into tactics.</t>
        </is>
      </c>
    </row>
    <row r="7" ht="51.26953125" customHeight="1">
      <c r="A7" s="18" t="inlineStr">
        <is>
          <t>N04</t>
        </is>
      </c>
      <c r="B7" s="4" t="inlineStr">
        <is>
          <t>Automation architecture</t>
        </is>
      </c>
      <c r="C7" s="4" t="inlineStr">
        <is>
          <t>Pillar/cluster</t>
        </is>
      </c>
      <c r="D7" s="4" t="inlineStr">
        <is>
          <t>How to choose and scale automation mechanisms.</t>
        </is>
      </c>
      <c r="E7" s="19" t="inlineStr">
        <is>
          <t>A13, A15, A27</t>
        </is>
      </c>
      <c r="G7" s="18" t="inlineStr">
        <is>
          <t>N02</t>
        </is>
      </c>
      <c r="H7" s="4" t="inlineStr">
        <is>
          <t>depends_on</t>
        </is>
      </c>
      <c r="I7" s="4" t="inlineStr">
        <is>
          <t>N09</t>
        </is>
      </c>
      <c r="J7" s="19" t="inlineStr">
        <is>
          <t>Agentic engineering pages should repeatedly reference agents.md, tool maps, and workflow docs.</t>
        </is>
      </c>
    </row>
    <row r="8" ht="51.26953125" customHeight="1">
      <c r="A8" s="18" t="inlineStr">
        <is>
          <t>N05</t>
        </is>
      </c>
      <c r="B8" s="4" t="inlineStr">
        <is>
          <t>Analytics engineering</t>
        </is>
      </c>
      <c r="C8" s="4" t="inlineStr">
        <is>
          <t>Pillar</t>
        </is>
      </c>
      <c r="D8" s="4" t="inlineStr">
        <is>
          <t>Measurement-system design, contracts, consent, first-party delivery, warehousing.</t>
        </is>
      </c>
      <c r="E8" s="19" t="inlineStr">
        <is>
          <t>A06, A22, A23, A25</t>
        </is>
      </c>
      <c r="G8" s="18" t="inlineStr">
        <is>
          <t>N02</t>
        </is>
      </c>
      <c r="H8" s="4" t="inlineStr">
        <is>
          <t>is_made_safer_by</t>
        </is>
      </c>
      <c r="I8" s="4" t="inlineStr">
        <is>
          <t>N10</t>
        </is>
      </c>
      <c r="J8" s="19" t="inlineStr">
        <is>
          <t>The feasibility/documentation loop is a risk-control mechanism for agentic delivery.</t>
        </is>
      </c>
    </row>
    <row r="9" ht="51.26953125" customHeight="1">
      <c r="A9" s="18" t="inlineStr">
        <is>
          <t>N06</t>
        </is>
      </c>
      <c r="B9" s="4" t="inlineStr">
        <is>
          <t>Paid media + ad tech workflows</t>
        </is>
      </c>
      <c r="C9" s="4" t="inlineStr">
        <is>
          <t>Pillar/cluster</t>
        </is>
      </c>
      <c r="D9" s="4" t="inlineStr">
        <is>
          <t>Application layer that ties AI and automation into paid media operations.</t>
        </is>
      </c>
      <c r="E9" s="19" t="inlineStr">
        <is>
          <t>A20, A21</t>
        </is>
      </c>
      <c r="G9" s="18" t="inlineStr">
        <is>
          <t>N02</t>
        </is>
      </c>
      <c r="H9" s="4" t="inlineStr">
        <is>
          <t>is_limited_by</t>
        </is>
      </c>
      <c r="I9" s="4" t="inlineStr">
        <is>
          <t>N14</t>
        </is>
      </c>
      <c r="J9" s="19" t="inlineStr">
        <is>
          <t>Risk/gov content provides counterweight and trust.</t>
        </is>
      </c>
    </row>
    <row r="10" ht="51.26953125" customHeight="1">
      <c r="A10" s="18" t="inlineStr">
        <is>
          <t>N07</t>
        </is>
      </c>
      <c r="B10" s="4" t="inlineStr">
        <is>
          <t>Business value and orchestration</t>
        </is>
      </c>
      <c r="C10" s="4" t="inlineStr">
        <is>
          <t>Pillar</t>
        </is>
      </c>
      <c r="D10" s="4" t="inlineStr">
        <is>
          <t>Commercial and operational rationale for solution stitching over greenfield building.</t>
        </is>
      </c>
      <c r="E10" s="19" t="inlineStr">
        <is>
          <t>A02, A05</t>
        </is>
      </c>
      <c r="G10" s="18" t="inlineStr">
        <is>
          <t>N03</t>
        </is>
      </c>
      <c r="H10" s="4" t="inlineStr">
        <is>
          <t>feeds</t>
        </is>
      </c>
      <c r="I10" s="4" t="inlineStr">
        <is>
          <t>N10</t>
        </is>
      </c>
      <c r="J10" s="19" t="inlineStr">
        <is>
          <t>Research and verification practices become inputs to the build loop.</t>
        </is>
      </c>
    </row>
    <row r="11" ht="51.26953125" customHeight="1">
      <c r="A11" s="18" t="inlineStr">
        <is>
          <t>N08</t>
        </is>
      </c>
      <c r="B11" s="4" t="inlineStr">
        <is>
          <t>Tokens and context windows</t>
        </is>
      </c>
      <c r="C11" s="4" t="inlineStr">
        <is>
          <t>Cluster</t>
        </is>
      </c>
      <c r="D11" s="4" t="inlineStr">
        <is>
          <t>Scope sizing, context budgets, and task decomposition.</t>
        </is>
      </c>
      <c r="E11" s="19" t="inlineStr">
        <is>
          <t>A09, A10, A28</t>
        </is>
      </c>
      <c r="G11" s="18" t="inlineStr">
        <is>
          <t>N03</t>
        </is>
      </c>
      <c r="H11" s="4" t="inlineStr">
        <is>
          <t>includes</t>
        </is>
      </c>
      <c r="I11" s="4" t="inlineStr">
        <is>
          <t>N15</t>
        </is>
      </c>
      <c r="J11" s="19" t="inlineStr">
        <is>
          <t>Truthfulness labeling is a concrete sub-framework inside reliable AI usage.</t>
        </is>
      </c>
    </row>
    <row r="12" ht="51.26953125" customHeight="1">
      <c r="A12" s="18" t="inlineStr">
        <is>
          <t>N09</t>
        </is>
      </c>
      <c r="B12" s="4" t="inlineStr">
        <is>
          <t>Agents.md / tool maps / workflow docs</t>
        </is>
      </c>
      <c r="C12" s="4" t="inlineStr">
        <is>
          <t>Entity cluster</t>
        </is>
      </c>
      <c r="D12" s="4" t="inlineStr">
        <is>
          <t>Reusable routing and capability-disclosure layer for agents.</t>
        </is>
      </c>
      <c r="E12" s="19" t="inlineStr">
        <is>
          <t>A07, A26</t>
        </is>
      </c>
      <c r="G12" s="18" t="inlineStr">
        <is>
          <t>N03</t>
        </is>
      </c>
      <c r="H12" s="4" t="inlineStr">
        <is>
          <t>supports</t>
        </is>
      </c>
      <c r="I12" s="4" t="inlineStr">
        <is>
          <t>N02</t>
        </is>
      </c>
      <c r="J12" s="19" t="inlineStr">
        <is>
          <t>Reliable AI usage principles make agentic pages more credible and reusable.</t>
        </is>
      </c>
    </row>
    <row r="13" ht="34.1796875" customHeight="1">
      <c r="A13" s="18" t="inlineStr">
        <is>
          <t>N10</t>
        </is>
      </c>
      <c r="B13" s="4" t="inlineStr">
        <is>
          <t>Feasibility -&gt; prompt -&gt; build loop</t>
        </is>
      </c>
      <c r="C13" s="4" t="inlineStr">
        <is>
          <t>Methodology</t>
        </is>
      </c>
      <c r="D13" s="4" t="inlineStr">
        <is>
          <t>Risk-reducing delivery loop before generation.</t>
        </is>
      </c>
      <c r="E13" s="19" t="inlineStr">
        <is>
          <t>A08, A19</t>
        </is>
      </c>
      <c r="G13" s="18" t="inlineStr">
        <is>
          <t>N04</t>
        </is>
      </c>
      <c r="H13" s="4" t="inlineStr">
        <is>
          <t>decides_between</t>
        </is>
      </c>
      <c r="I13" s="4" t="inlineStr">
        <is>
          <t>N11</t>
        </is>
      </c>
      <c r="J13" s="19" t="inlineStr">
        <is>
          <t>Mechanism selection is the center of the automation cluster.</t>
        </is>
      </c>
    </row>
    <row r="14" ht="34.1796875" customHeight="1">
      <c r="A14" s="18" t="inlineStr">
        <is>
          <t>N11</t>
        </is>
      </c>
      <c r="B14" s="4" t="inlineStr">
        <is>
          <t>Automation vs agent decisioning</t>
        </is>
      </c>
      <c r="C14" s="4" t="inlineStr">
        <is>
          <t>Decision framework</t>
        </is>
      </c>
      <c r="D14" s="4" t="inlineStr">
        <is>
          <t>Mechanism-selection logic for workflows.</t>
        </is>
      </c>
      <c r="E14" s="19" t="inlineStr">
        <is>
          <t>A13, A27</t>
        </is>
      </c>
      <c r="G14" s="18" t="inlineStr">
        <is>
          <t>N04</t>
        </is>
      </c>
      <c r="H14" s="4" t="inlineStr">
        <is>
          <t>progresses_through</t>
        </is>
      </c>
      <c r="I14" s="4" t="inlineStr">
        <is>
          <t>N13</t>
        </is>
      </c>
      <c r="J14" s="19" t="inlineStr">
        <is>
          <t>The maturity ladder gives structure to automation architecture.</t>
        </is>
      </c>
    </row>
    <row r="15" ht="51.26953125" customHeight="1">
      <c r="A15" s="18" t="inlineStr">
        <is>
          <t>N12</t>
        </is>
      </c>
      <c r="B15" s="4" t="inlineStr">
        <is>
          <t>AI adoption maturity</t>
        </is>
      </c>
      <c r="C15" s="4" t="inlineStr">
        <is>
          <t>Framework</t>
        </is>
      </c>
      <c r="D15" s="4" t="inlineStr">
        <is>
          <t>Signature maturity model for teams.</t>
        </is>
      </c>
      <c r="E15" s="19" t="inlineStr">
        <is>
          <t>A14, A29</t>
        </is>
      </c>
      <c r="G15" s="18" t="inlineStr">
        <is>
          <t>N04</t>
        </is>
      </c>
      <c r="H15" s="4" t="inlineStr">
        <is>
          <t>bridges_to</t>
        </is>
      </c>
      <c r="I15" s="4" t="inlineStr">
        <is>
          <t>N02</t>
        </is>
      </c>
      <c r="J15" s="19" t="inlineStr">
        <is>
          <t>Many visitors will move from automation questions into agent questions.</t>
        </is>
      </c>
    </row>
    <row r="16" ht="51.26953125" customHeight="1">
      <c r="A16" s="18" t="inlineStr">
        <is>
          <t>N13</t>
        </is>
      </c>
      <c r="B16" s="4" t="inlineStr">
        <is>
          <t>Automation maturity ladder</t>
        </is>
      </c>
      <c r="C16" s="4" t="inlineStr">
        <is>
          <t>Framework</t>
        </is>
      </c>
      <c r="D16" s="4" t="inlineStr">
        <is>
          <t>Operational reliability ladder for automation tooling.</t>
        </is>
      </c>
      <c r="E16" s="19" t="inlineStr">
        <is>
          <t>A15</t>
        </is>
      </c>
      <c r="G16" s="18" t="inlineStr">
        <is>
          <t>N05</t>
        </is>
      </c>
      <c r="H16" s="4" t="inlineStr">
        <is>
          <t>is_proven_by</t>
        </is>
      </c>
      <c r="I16" s="4" t="inlineStr">
        <is>
          <t>N19</t>
        </is>
      </c>
      <c r="J16" s="19" t="inlineStr">
        <is>
          <t>The analytics implementation page validates the measurement-system pillar.</t>
        </is>
      </c>
    </row>
    <row r="17" ht="51.26953125" customHeight="1">
      <c r="A17" s="18" t="inlineStr">
        <is>
          <t>N14</t>
        </is>
      </c>
      <c r="B17" s="4" t="inlineStr">
        <is>
          <t>Risk and governance</t>
        </is>
      </c>
      <c r="C17" s="4" t="inlineStr">
        <is>
          <t>Cluster</t>
        </is>
      </c>
      <c r="D17" s="4" t="inlineStr">
        <is>
          <t>Prompt injection, unsafe tool use, false confidence, policy boundaries.</t>
        </is>
      </c>
      <c r="E17" s="19" t="inlineStr">
        <is>
          <t>A16, A17</t>
        </is>
      </c>
      <c r="G17" s="18" t="inlineStr">
        <is>
          <t>N05</t>
        </is>
      </c>
      <c r="H17" s="4" t="inlineStr">
        <is>
          <t>formalizes_with</t>
        </is>
      </c>
      <c r="I17" s="4" t="inlineStr">
        <is>
          <t>N18</t>
        </is>
      </c>
      <c r="J17" s="19" t="inlineStr">
        <is>
          <t>Contracts and schemas are the durable center of measurement architecture.</t>
        </is>
      </c>
    </row>
    <row r="18" ht="51.26953125" customHeight="1">
      <c r="A18" s="18" t="inlineStr">
        <is>
          <t>N15</t>
        </is>
      </c>
      <c r="B18" s="4" t="inlineStr">
        <is>
          <t>Fact / inference / ambiguity</t>
        </is>
      </c>
      <c r="C18" s="4" t="inlineStr">
        <is>
          <t>Framework</t>
        </is>
      </c>
      <c r="D18" s="4" t="inlineStr">
        <is>
          <t>Output truthfulness labeling framework.</t>
        </is>
      </c>
      <c r="E18" s="19" t="inlineStr">
        <is>
          <t>A18</t>
        </is>
      </c>
      <c r="G18" s="18" t="inlineStr">
        <is>
          <t>N05</t>
        </is>
      </c>
      <c r="H18" s="4" t="inlineStr">
        <is>
          <t>applies_to</t>
        </is>
      </c>
      <c r="I18" s="4" t="inlineStr">
        <is>
          <t>N06</t>
        </is>
      </c>
      <c r="J18" s="19" t="inlineStr">
        <is>
          <t>Paid media teams are a concrete high-value audience for analytics + AI systems.</t>
        </is>
      </c>
    </row>
    <row r="19" ht="51.26953125" customHeight="1">
      <c r="A19" s="18" t="inlineStr">
        <is>
          <t>N16</t>
        </is>
      </c>
      <c r="B19" s="4" t="inlineStr">
        <is>
          <t>Prompt teardown library</t>
        </is>
      </c>
      <c r="C19" s="4" t="inlineStr">
        <is>
          <t>Resource</t>
        </is>
      </c>
      <c r="D19" s="4" t="inlineStr">
        <is>
          <t>Annotated build prompts and outcomes.</t>
        </is>
      </c>
      <c r="E19" s="19" t="inlineStr">
        <is>
          <t>A19, A35</t>
        </is>
      </c>
      <c r="G19" s="18" t="inlineStr">
        <is>
          <t>N06</t>
        </is>
      </c>
      <c r="H19" s="4" t="inlineStr">
        <is>
          <t>implements_with</t>
        </is>
      </c>
      <c r="I19" s="4" t="inlineStr">
        <is>
          <t>N17</t>
        </is>
      </c>
      <c r="J19" s="19" t="inlineStr">
        <is>
          <t>The CM360/App Script example is a specific proof pattern for the paid media audience.</t>
        </is>
      </c>
    </row>
    <row r="20" ht="51.26953125" customHeight="1">
      <c r="A20" s="18" t="inlineStr">
        <is>
          <t>N17</t>
        </is>
      </c>
      <c r="B20" s="4" t="inlineStr">
        <is>
          <t>CM360 / Apps Script workflow automation</t>
        </is>
      </c>
      <c r="C20" s="4" t="inlineStr">
        <is>
          <t>Case/application</t>
        </is>
      </c>
      <c r="D20" s="4" t="inlineStr">
        <is>
          <t>Niche workflow bridge into ad tech and spreadsheet operations.</t>
        </is>
      </c>
      <c r="E20" s="19" t="inlineStr">
        <is>
          <t>A20</t>
        </is>
      </c>
      <c r="G20" s="18" t="inlineStr">
        <is>
          <t>N07</t>
        </is>
      </c>
      <c r="H20" s="4" t="inlineStr">
        <is>
          <t>connects_to</t>
        </is>
      </c>
      <c r="I20" s="4" t="inlineStr">
        <is>
          <t>N21</t>
        </is>
      </c>
      <c r="J20" s="19" t="inlineStr">
        <is>
          <t>Selective scalable templates turn the orchestrator view into discoverable assets.</t>
        </is>
      </c>
    </row>
    <row r="21" ht="34.1796875" customHeight="1">
      <c r="A21" s="18" t="inlineStr">
        <is>
          <t>N18</t>
        </is>
      </c>
      <c r="B21" s="4" t="inlineStr">
        <is>
          <t>Analytics contracts / event schemas</t>
        </is>
      </c>
      <c r="C21" s="4" t="inlineStr">
        <is>
          <t>Methodology</t>
        </is>
      </c>
      <c r="D21" s="4" t="inlineStr">
        <is>
          <t>Measurement schema design pattern.</t>
        </is>
      </c>
      <c r="E21" s="19" t="inlineStr">
        <is>
          <t>A22</t>
        </is>
      </c>
      <c r="G21" s="18" t="inlineStr">
        <is>
          <t>N08</t>
        </is>
      </c>
      <c r="H21" s="4" t="inlineStr">
        <is>
          <t>feeds</t>
        </is>
      </c>
      <c r="I21" s="4" t="inlineStr">
        <is>
          <t>N10</t>
        </is>
      </c>
      <c r="J21" s="19" t="inlineStr">
        <is>
          <t>Good prompt/build loops depend on task sizing and context management.</t>
        </is>
      </c>
    </row>
    <row r="22" ht="51.26953125" customHeight="1">
      <c r="A22" s="18" t="inlineStr">
        <is>
          <t>N19</t>
        </is>
      </c>
      <c r="B22" s="4" t="inlineStr">
        <is>
          <t>Consented first-party analytics stack</t>
        </is>
      </c>
      <c r="C22" s="4" t="inlineStr">
        <is>
          <t>Proof asset</t>
        </is>
      </c>
      <c r="D22" s="4" t="inlineStr">
        <is>
          <t>Existing implementation proof that transfers trust to analytics pages.</t>
        </is>
      </c>
      <c r="E22" s="19" t="inlineStr">
        <is>
          <t>A23</t>
        </is>
      </c>
      <c r="G22" s="18" t="inlineStr">
        <is>
          <t>N08</t>
        </is>
      </c>
      <c r="H22" s="4" t="inlineStr">
        <is>
          <t>powers</t>
        </is>
      </c>
      <c r="I22" s="4" t="inlineStr">
        <is>
          <t>N20</t>
        </is>
      </c>
      <c r="J22" s="19" t="inlineStr">
        <is>
          <t>The calculator is a practical interactive manifestation of the context topic.</t>
        </is>
      </c>
    </row>
    <row r="23" ht="51.26953125" customHeight="1">
      <c r="A23" s="18" t="inlineStr">
        <is>
          <t>N20</t>
        </is>
      </c>
      <c r="B23" s="4" t="inlineStr">
        <is>
          <t>Interactive visual assets</t>
        </is>
      </c>
      <c r="C23" s="4" t="inlineStr">
        <is>
          <t>Asset layer</t>
        </is>
      </c>
      <c r="D23" s="4" t="inlineStr">
        <is>
          <t>Diagrams, decision tools, calculators, diagnostics, benchmark explorers.</t>
        </is>
      </c>
      <c r="E23" s="19" t="inlineStr">
        <is>
          <t>A26-A30</t>
        </is>
      </c>
      <c r="G23" s="18" t="inlineStr">
        <is>
          <t>N09</t>
        </is>
      </c>
      <c r="H23" s="4" t="inlineStr">
        <is>
          <t>visualized_as</t>
        </is>
      </c>
      <c r="I23" s="4" t="inlineStr">
        <is>
          <t>N20</t>
        </is>
      </c>
      <c r="J23" s="19" t="inlineStr">
        <is>
          <t>The architecture explorer should visualize the routing/configuration layer.</t>
        </is>
      </c>
    </row>
    <row r="24" ht="51.26953125" customHeight="1">
      <c r="A24" s="18" t="inlineStr">
        <is>
          <t>N21</t>
        </is>
      </c>
      <c r="B24" s="4" t="inlineStr">
        <is>
          <t>Selective programmatic templates</t>
        </is>
      </c>
      <c r="C24" s="4" t="inlineStr">
        <is>
          <t>Scale layer</t>
        </is>
      </c>
      <c r="D24" s="4" t="inlineStr">
        <is>
          <t>Curated comparison, playbook, pattern, and glossary templates.</t>
        </is>
      </c>
      <c r="E24" s="19" t="inlineStr">
        <is>
          <t>A31-A34</t>
        </is>
      </c>
      <c r="G24" s="18" t="inlineStr">
        <is>
          <t>N10</t>
        </is>
      </c>
      <c r="H24" s="4" t="inlineStr">
        <is>
          <t>explained_by</t>
        </is>
      </c>
      <c r="I24" s="4" t="inlineStr">
        <is>
          <t>N16</t>
        </is>
      </c>
      <c r="J24" s="19" t="inlineStr">
        <is>
          <t>Prompt teardowns show how the loop performs in practice.</t>
        </is>
      </c>
    </row>
    <row r="25" ht="34.1796875" customHeight="1">
      <c r="A25" s="20" t="inlineStr">
        <is>
          <t>N22</t>
        </is>
      </c>
      <c r="B25" s="44" t="inlineStr">
        <is>
          <t>Datasets and benchmarks</t>
        </is>
      </c>
      <c r="C25" s="44" t="inlineStr">
        <is>
          <t>Asset layer</t>
        </is>
      </c>
      <c r="D25" s="44" t="inlineStr">
        <is>
          <t>Structured resource pages that add machine-readable authority.</t>
        </is>
      </c>
      <c r="E25" s="21" t="inlineStr">
        <is>
          <t>A35, A36</t>
        </is>
      </c>
      <c r="G25" s="18" t="inlineStr">
        <is>
          <t>N11</t>
        </is>
      </c>
      <c r="H25" s="4" t="inlineStr">
        <is>
          <t>visualized_as</t>
        </is>
      </c>
      <c r="I25" s="4" t="inlineStr">
        <is>
          <t>N20</t>
        </is>
      </c>
      <c r="J25" s="19" t="inlineStr">
        <is>
          <t>The automation-vs-agent decision tree operationalizes the framework.</t>
        </is>
      </c>
    </row>
    <row r="26" ht="34.1796875" customHeight="1">
      <c r="G26" s="18" t="inlineStr">
        <is>
          <t>N12</t>
        </is>
      </c>
      <c r="H26" s="4" t="inlineStr">
        <is>
          <t>visualized_as</t>
        </is>
      </c>
      <c r="I26" s="4" t="inlineStr">
        <is>
          <t>N20</t>
        </is>
      </c>
      <c r="J26" s="19" t="inlineStr">
        <is>
          <t>The maturity model becomes more memorable and useful as a diagnostic.</t>
        </is>
      </c>
    </row>
    <row r="27" ht="51.26953125" customHeight="1">
      <c r="G27" s="18" t="inlineStr">
        <is>
          <t>N14</t>
        </is>
      </c>
      <c r="H27" s="4" t="inlineStr">
        <is>
          <t>constrains</t>
        </is>
      </c>
      <c r="I27" s="4" t="inlineStr">
        <is>
          <t>N21</t>
        </is>
      </c>
      <c r="J27" s="19" t="inlineStr">
        <is>
          <t>Programmatic expansion must stay within people-first and anti-spam rules.</t>
        </is>
      </c>
    </row>
    <row r="28" ht="51.26953125" customHeight="1">
      <c r="G28" s="18" t="inlineStr">
        <is>
          <t>N16</t>
        </is>
      </c>
      <c r="H28" s="4" t="inlineStr">
        <is>
          <t>feeds</t>
        </is>
      </c>
      <c r="I28" s="4" t="inlineStr">
        <is>
          <t>N22</t>
        </is>
      </c>
      <c r="J28" s="19" t="inlineStr">
        <is>
          <t>Annotated prompt examples can evolve into downloadable datasets and benchmark inputs.</t>
        </is>
      </c>
    </row>
    <row r="29" ht="51.26953125" customHeight="1">
      <c r="G29" s="18" t="inlineStr">
        <is>
          <t>N20</t>
        </is>
      </c>
      <c r="H29" s="4" t="inlineStr">
        <is>
          <t>routes_into</t>
        </is>
      </c>
      <c r="I29" s="4" t="inlineStr">
        <is>
          <t>N21</t>
        </is>
      </c>
      <c r="J29" s="19" t="inlineStr">
        <is>
          <t>Interactive tools can hand users into curated comparison/playbook/pattern pages.</t>
        </is>
      </c>
    </row>
    <row r="30" ht="34.1796875" customHeight="1">
      <c r="G30" s="18" t="inlineStr">
        <is>
          <t>N21</t>
        </is>
      </c>
      <c r="H30" s="4" t="inlineStr">
        <is>
          <t>must_link_back_to</t>
        </is>
      </c>
      <c r="I30" s="4" t="inlineStr">
        <is>
          <t>N01</t>
        </is>
      </c>
      <c r="J30" s="19" t="inlineStr">
        <is>
          <t>Scalable pages should always ladder into flagship authority pages.</t>
        </is>
      </c>
    </row>
    <row r="31" ht="51.26953125" customHeight="1">
      <c r="G31" s="20" t="inlineStr">
        <is>
          <t>N22</t>
        </is>
      </c>
      <c r="H31" s="44" t="inlineStr">
        <is>
          <t>reinforces</t>
        </is>
      </c>
      <c r="I31" s="44" t="inlineStr">
        <is>
          <t>N03</t>
        </is>
      </c>
      <c r="J31" s="21" t="inlineStr">
        <is>
          <t>Datasets and benchmarks raise trust and machine-readable authority for AI-related claims.</t>
        </is>
      </c>
    </row>
    <row r="32" ht="51.26953125" customHeight="1">
      <c r="A32" t="inlineStr">
        <is>
          <t>N16</t>
        </is>
      </c>
      <c r="B32" t="inlineStr">
        <is>
          <t>Self-improving delivery loops</t>
        </is>
      </c>
      <c r="C32" t="inlineStr">
        <is>
          <t>Cluster</t>
        </is>
      </c>
      <c r="D32" t="inlineStr">
        <is>
          <t>Operational systems that inspect real agent work, rank friction, and codify durable fixes.</t>
        </is>
      </c>
      <c r="E32" t="inlineStr">
        <is>
          <t>A37, A38</t>
        </is>
      </c>
      <c r="G32" s="20" t="inlineStr">
        <is>
          <t>N16</t>
        </is>
      </c>
      <c r="H32" s="44" t="inlineStr">
        <is>
          <t>operationalizes</t>
        </is>
      </c>
      <c r="I32" s="44" t="inlineStr">
        <is>
          <t>N01</t>
        </is>
      </c>
      <c r="J32" s="21" t="inlineStr">
        <is>
          <t>This turns AI-native delivery from a slogan into a measurable improvement loop.</t>
        </is>
      </c>
    </row>
    <row r="33" ht="51.26953125" customHeight="1">
      <c r="A33" t="inlineStr">
        <is>
          <t>N17</t>
        </is>
      </c>
      <c r="B33" t="inlineStr">
        <is>
          <t>Browser automation benchmarks</t>
        </is>
      </c>
      <c r="C33" t="inlineStr">
        <is>
          <t>Cluster</t>
        </is>
      </c>
      <c r="D33" t="inlineStr">
        <is>
          <t>Evidence-backed comparison layer for browser automation tools across real journeys and browser states.</t>
        </is>
      </c>
      <c r="E33" t="inlineStr">
        <is>
          <t>A39, A40</t>
        </is>
      </c>
      <c r="G33" s="20" t="inlineStr">
        <is>
          <t>N17</t>
        </is>
      </c>
      <c r="H33" s="44" t="inlineStr">
        <is>
          <t>grounds</t>
        </is>
      </c>
      <c r="I33" s="44" t="inlineStr">
        <is>
          <t>N18</t>
        </is>
      </c>
      <c r="J33" s="21" t="inlineStr">
        <is>
          <t>The benchmark layer gives the browser-assisted measurement story proof instead of preference.</t>
        </is>
      </c>
    </row>
    <row r="34" ht="51.26953125" customHeight="1">
      <c r="A34" t="inlineStr">
        <is>
          <t>N18</t>
        </is>
      </c>
      <c r="B34" t="inlineStr">
        <is>
          <t>Browser-assisted measurement trust</t>
        </is>
      </c>
      <c r="C34" t="inlineStr">
        <is>
          <t>Cluster</t>
        </is>
      </c>
      <c r="D34" t="inlineStr">
        <is>
          <t>Browser execution, analytics inspection, and proof-backed measurement auditing.</t>
        </is>
      </c>
      <c r="E34" t="inlineStr">
        <is>
          <t>A41, A42, A43</t>
        </is>
      </c>
      <c r="G34" s="20" t="inlineStr">
        <is>
          <t>N18</t>
        </is>
      </c>
      <c r="H34" s="44" t="inlineStr">
        <is>
          <t>extends</t>
        </is>
      </c>
      <c r="I34" s="44" t="inlineStr">
        <is>
          <t>N05</t>
        </is>
      </c>
      <c r="J34" s="21" t="inlineStr">
        <is>
          <t>Adds a live-browser diagnosis layer to the analytics-engineering pillar.</t>
        </is>
      </c>
    </row>
    <row r="35" ht="51.26953125" customHeight="1">
      <c r="A35" t="inlineStr">
        <is>
          <t>N19</t>
        </is>
      </c>
      <c r="B35" t="inlineStr">
        <is>
          <t>Extraction ladders and seed registries</t>
        </is>
      </c>
      <c r="C35" t="inlineStr">
        <is>
          <t>Cluster</t>
        </is>
      </c>
      <c r="D35" t="inlineStr">
        <is>
          <t>Deterministic extraction orders, evidence capture, and provenance-preserving seed systems.</t>
        </is>
      </c>
      <c r="E35" t="inlineStr">
        <is>
          <t>A44, A45</t>
        </is>
      </c>
      <c r="G35" s="20" t="inlineStr">
        <is>
          <t>N19</t>
        </is>
      </c>
      <c r="H35" s="44" t="inlineStr">
        <is>
          <t>makes_safer</t>
        </is>
      </c>
      <c r="I35" s="44" t="inlineStr">
        <is>
          <t>N02</t>
        </is>
      </c>
      <c r="J35" s="21" t="inlineStr">
        <is>
          <t>These patterns keep agentic data work grounded in evidence and escalation rules.</t>
        </is>
      </c>
    </row>
    <row r="36" ht="51.26953125" customHeight="1">
      <c r="A36" t="inlineStr">
        <is>
          <t>N20</t>
        </is>
      </c>
      <c r="B36" t="inlineStr">
        <is>
          <t>Model intelligence</t>
        </is>
      </c>
      <c r="C36" t="inlineStr">
        <is>
          <t>Cluster</t>
        </is>
      </c>
      <c r="D36" t="inlineStr">
        <is>
          <t>Auditable model cohorts, scenario scoring, and recommendation surfaces.</t>
        </is>
      </c>
      <c r="E36" t="inlineStr">
        <is>
          <t>A46, A47</t>
        </is>
      </c>
      <c r="G36" s="20" t="inlineStr">
        <is>
          <t>N20</t>
        </is>
      </c>
      <c r="H36" s="44" t="inlineStr">
        <is>
          <t>informs</t>
        </is>
      </c>
      <c r="I36" s="44" t="inlineStr">
        <is>
          <t>N07</t>
        </is>
      </c>
      <c r="J36" s="21" t="inlineStr">
        <is>
          <t>Model choice becomes a business-value decision when the scoring and coverage are visible.</t>
        </is>
      </c>
    </row>
    <row r="37" ht="51.26953125" customHeight="1">
      <c r="A37" t="inlineStr">
        <is>
          <t>N21</t>
        </is>
      </c>
      <c r="B37" t="inlineStr">
        <is>
          <t>Repo-activity publishing</t>
        </is>
      </c>
      <c r="C37" t="inlineStr">
        <is>
          <t>Cluster</t>
        </is>
      </c>
      <c r="D37" t="inlineStr">
        <is>
          <t>Systems that turn real repo work into public diary, archive, and learning surfaces.</t>
        </is>
      </c>
      <c r="E37" t="inlineStr">
        <is>
          <t>A48</t>
        </is>
      </c>
      <c r="G37" s="20" t="inlineStr">
        <is>
          <t>N21</t>
        </is>
      </c>
      <c r="H37" s="44" t="inlineStr">
        <is>
          <t>supports</t>
        </is>
      </c>
      <c r="I37" s="44" t="inlineStr">
        <is>
          <t>N01</t>
        </is>
      </c>
      <c r="J37" s="21" t="inlineStr">
        <is>
          <t>Public learning loops help the delivery system compound into content and proof.</t>
        </is>
      </c>
    </row>
    <row r="38" ht="51.26953125" customHeight="1">
      <c r="A38" t="inlineStr">
        <is>
          <t>N22</t>
        </is>
      </c>
      <c r="B38" t="inlineStr">
        <is>
          <t>Quiet AI writing experiences</t>
        </is>
      </c>
      <c r="C38" t="inlineStr">
        <is>
          <t>Cluster</t>
        </is>
      </c>
      <c r="D38" t="inlineStr">
        <is>
          <t>Product patterns for keeping AI assistive, cancelable, and subordinate to the main task.</t>
        </is>
      </c>
      <c r="E38" t="inlineStr">
        <is>
          <t>A49, A50</t>
        </is>
      </c>
      <c r="G38" s="20" t="inlineStr">
        <is>
          <t>N22</t>
        </is>
      </c>
      <c r="H38" s="44" t="inlineStr">
        <is>
          <t>humanizes</t>
        </is>
      </c>
      <c r="I38" s="44" t="inlineStr">
        <is>
          <t>N03</t>
        </is>
      </c>
      <c r="J38" s="21" t="inlineStr">
        <is>
          <t>Trust is not only about facts; it is also about how loudly AI intrudes on the workflow.</t>
        </is>
      </c>
    </row>
    <row r="39" ht="51.26953125" customHeight="1">
      <c r="A39" t="inlineStr">
        <is>
          <t>N23</t>
        </is>
      </c>
      <c r="B39" t="inlineStr">
        <is>
          <t>Workflow chains and memory systems</t>
        </is>
      </c>
      <c r="C39" t="inlineStr">
        <is>
          <t>Cluster</t>
        </is>
      </c>
      <c r="D39" t="inlineStr">
        <is>
          <t>Chain selection, markdown memory mirrors, and reusable operating guidance.</t>
        </is>
      </c>
      <c r="E39" t="inlineStr">
        <is>
          <t>A52, A54, A55, A57</t>
        </is>
      </c>
      <c r="G39" s="20" t="inlineStr">
        <is>
          <t>N23</t>
        </is>
      </c>
      <c r="H39" s="44" t="inlineStr">
        <is>
          <t>supports</t>
        </is>
      </c>
      <c r="I39" s="44" t="inlineStr">
        <is>
          <t>N02</t>
        </is>
      </c>
      <c r="J39" s="21" t="inlineStr">
        <is>
          <t>These assets explain how the workflow stack stays reusable across projects.</t>
        </is>
      </c>
    </row>
    <row r="40" ht="51.26953125" customHeight="1">
      <c r="A40" t="inlineStr">
        <is>
          <t>N24</t>
        </is>
      </c>
      <c r="B40" t="inlineStr">
        <is>
          <t>Orchestration proof and research-repo teardowns</t>
        </is>
      </c>
      <c r="C40" t="inlineStr">
        <is>
          <t>Cluster</t>
        </is>
      </c>
      <c r="D40" t="inlineStr">
        <is>
          <t>Concrete demonstrations and local experiments that make abstract AI-system ideas legible.</t>
        </is>
      </c>
      <c r="E40" t="inlineStr">
        <is>
          <t>A56, A58</t>
        </is>
      </c>
      <c r="G40" s="20" t="inlineStr">
        <is>
          <t>N24</t>
        </is>
      </c>
      <c r="H40" s="44" t="inlineStr">
        <is>
          <t>sharpens</t>
        </is>
      </c>
      <c r="I40" s="44" t="inlineStr">
        <is>
          <t>N02</t>
        </is>
      </c>
      <c r="J40" s="21" t="inlineStr">
        <is>
          <t>Proof demos and teardown briefings keep the agentic-engineering pillar concrete and credible.</t>
        </is>
      </c>
    </row>
  </sheetData>
  <mergeCells count="2">
    <mergeCell ref="A1:J1"/>
    <mergeCell ref="G1:K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5" customWidth="1" min="1" max="1"/>
    <col width="25" customWidth="1" min="2" max="2"/>
    <col width="25" customWidth="1" min="3" max="3"/>
    <col width="30.70999908447266" customWidth="1" min="4" max="4"/>
    <col width="30.70999908447266" customWidth="1" min="5" max="5"/>
    <col width="30.70999908447266" customWidth="1" min="6" max="6"/>
    <col width="19.29000091552734" customWidth="1" min="7" max="7"/>
    <col width="25" customWidth="1" min="8" max="8"/>
    <col width="25" customWidth="1" min="9" max="9"/>
  </cols>
  <sheetData>
    <row r="1">
      <c r="A1" s="31" t="inlineStr">
        <is>
          <t>Selective programmatic SEO playbook</t>
        </is>
      </c>
    </row>
    <row r="2">
      <c r="A2" s="35" t="inlineStr">
        <is>
          <t>Only page types with clear user value are included here. The matrix is intentionally conservative: index only pages with real differentiation, use canonicalization aggressively, and noindex anything that drifts toward low-delta scale.</t>
        </is>
      </c>
    </row>
    <row r="3" ht="17.08984375" customHeight="1">
      <c r="A3" s="40" t="inlineStr">
        <is>
          <t>Page_type</t>
        </is>
      </c>
      <c r="B3" s="41" t="inlineStr">
        <is>
          <t>URL_pattern</t>
        </is>
      </c>
      <c r="C3" s="41" t="inlineStr">
        <is>
          <t>Why_valid</t>
        </is>
      </c>
      <c r="D3" s="41" t="inlineStr">
        <is>
          <t>Required_data_model</t>
        </is>
      </c>
      <c r="E3" s="41" t="inlineStr">
        <is>
          <t>Unique_value_required</t>
        </is>
      </c>
      <c r="F3" s="41" t="inlineStr">
        <is>
          <t>Canonical_and_indexing</t>
        </is>
      </c>
      <c r="G3" s="41" t="inlineStr">
        <is>
          <t>Structured_data</t>
        </is>
      </c>
      <c r="H3" s="41" t="inlineStr">
        <is>
          <t>Primary_risk</t>
        </is>
      </c>
      <c r="I3" s="42" t="inlineStr">
        <is>
          <t>Operational_note</t>
        </is>
      </c>
    </row>
    <row r="4" ht="136.71875" customHeight="1">
      <c r="A4" s="16" t="inlineStr">
        <is>
          <t>Workflow-aware AI tool comparison pages</t>
        </is>
      </c>
      <c r="B4" s="43" t="inlineStr">
        <is>
          <t>/compare/{tool-a}-vs-{tool-b}-for-{workflow}</t>
        </is>
      </c>
      <c r="C4" s="43" t="inlineStr">
        <is>
          <t>Only when workflow materially changes the recommendation. 'for spreadsheet automation' should differ from 'for prototype UI generation'.</t>
        </is>
      </c>
      <c r="D4" s="43" t="inlineStr">
        <is>
          <t>tool_a, tool_b, workflow, team_type, constraints, review burden, speed_to_first_output, control_level, risk_profile, proof_links, best_for, not_for</t>
        </is>
      </c>
      <c r="E4" s="43" t="inlineStr">
        <is>
          <t>Workflow fit narrative; evidence-backed tradeoffs; recommendation summary; links to proof and alternatives</t>
        </is>
      </c>
      <c r="F4" s="43" t="inlineStr">
        <is>
          <t>Canonical to the primary comparison URL; noindex faceted filters and low-delta combinations; index only hand-reviewed pages</t>
        </is>
      </c>
      <c r="G4" s="43" t="inlineStr">
        <is>
          <t>Article + Breadcrumb; optionally SoftwareApplication on comparison explorer, not on every page</t>
        </is>
      </c>
      <c r="H4" s="43" t="inlineStr">
        <is>
          <t>Thin 'X vs Y' pages, stale vendor data, feature-parity spam</t>
        </is>
      </c>
      <c r="I4" s="17" t="inlineStr">
        <is>
          <t>Treat these as editorially-curated templates, not full combinatorial scale.</t>
        </is>
      </c>
    </row>
    <row r="5" ht="153.80859375" customHeight="1">
      <c r="A5" s="18" t="inlineStr">
        <is>
          <t>Role x workflow playbooks</t>
        </is>
      </c>
      <c r="B5" s="4" t="inlineStr">
        <is>
          <t>/playbooks/{role}/{workflow}</t>
        </is>
      </c>
      <c r="C5" s="4" t="inlineStr">
        <is>
          <t>Valid because paid media managers, analysts, and measurement engineers have different constraints, approval paths, and KPIs for the same workflow.</t>
        </is>
      </c>
      <c r="D5" s="4" t="inlineStr">
        <is>
          <t>role, workflow, inputs, tools, approval_steps, data_sensitivity, outputs, QA_checks, KPI_targets, linked_templates</t>
        </is>
      </c>
      <c r="E5" s="4" t="inlineStr">
        <is>
          <t>Concrete SOP-like steps, example prompts, tool stack suggestions, review checklist, expected outputs</t>
        </is>
      </c>
      <c r="F5" s="4" t="inlineStr">
        <is>
          <t>Canonical self-reference; noindex thin tails; index only combinations with original examples and screenshots</t>
        </is>
      </c>
      <c r="G5" s="4" t="inlineStr">
        <is>
          <t>Article + Breadcrumb</t>
        </is>
      </c>
      <c r="H5" s="4" t="inlineStr">
        <is>
          <t>Templated fluff and repetitive role pages with minimal differentiation</t>
        </is>
      </c>
      <c r="I5" s="19" t="inlineStr">
        <is>
          <t>Start with 6-10 highest-value intersections only.</t>
        </is>
      </c>
    </row>
    <row r="6" ht="102.5390625" customHeight="1">
      <c r="A6" s="18" t="inlineStr">
        <is>
          <t>Problem -&gt; stack -&gt; proof pattern pages</t>
        </is>
      </c>
      <c r="B6" s="4" t="inlineStr">
        <is>
          <t>/patterns/{problem}/{stack}</t>
        </is>
      </c>
      <c r="C6" s="4" t="inlineStr">
        <is>
          <t>Useful because users often know the pain point but not the implementation category.</t>
        </is>
      </c>
      <c r="D6" s="4" t="inlineStr">
        <is>
          <t>problem, stack, prerequisites, data_inputs, outputs, failure_modes, proof_assets, related_workflows, effort, maintenance_cost</t>
        </is>
      </c>
      <c r="E6" s="4" t="inlineStr">
        <is>
          <t>Named pattern, best-use conditions, caveats, linked proof pages, implementation notes</t>
        </is>
      </c>
      <c r="F6" s="4" t="inlineStr">
        <is>
          <t>Canonical self-reference; index only patterns backed by proof; noindex speculative or placeholder patterns</t>
        </is>
      </c>
      <c r="G6" s="4" t="inlineStr">
        <is>
          <t>Article + Breadcrumb</t>
        </is>
      </c>
      <c r="H6" s="4" t="inlineStr">
        <is>
          <t>Keyword-driven pattern inflation without real evidence</t>
        </is>
      </c>
      <c r="I6" s="19" t="inlineStr">
        <is>
          <t>Excellent promptless SEO fit when grounded in real recurring problems.</t>
        </is>
      </c>
    </row>
    <row r="7" ht="85.44921875" customHeight="1">
      <c r="A7" s="18" t="inlineStr">
        <is>
          <t>Selective glossary/entity pages</t>
        </is>
      </c>
      <c r="B7" s="4" t="inlineStr">
        <is>
          <t>/glossary/{entity}</t>
        </is>
      </c>
      <c r="C7" s="4" t="inlineStr">
        <is>
          <t>Valid for entities that recur across multiple pages and genuinely confuse readers or AI systems.</t>
        </is>
      </c>
      <c r="D7" s="4" t="inlineStr">
        <is>
          <t>entity_name, entity_type, plain_definition, why_it_matters, adjacent_entities, examples, related_pages</t>
        </is>
      </c>
      <c r="E7" s="4" t="inlineStr">
        <is>
          <t>Short definition plus business relevance, comparisons, examples, and linked next steps</t>
        </is>
      </c>
      <c r="F7" s="4" t="inlineStr">
        <is>
          <t>Canonical self-reference; index only top entities; noindex stubs or duplicate definitions</t>
        </is>
      </c>
      <c r="G7" s="4" t="inlineStr">
        <is>
          <t>Article + Breadcrumb</t>
        </is>
      </c>
      <c r="H7" s="4" t="inlineStr">
        <is>
          <t>Mass-generated definitions with no workflow context</t>
        </is>
      </c>
      <c r="I7" s="19" t="inlineStr">
        <is>
          <t>Good support layer for AI-search entity grounding, not a volume play.</t>
        </is>
      </c>
    </row>
    <row r="8" ht="85.44921875" customHeight="1">
      <c r="A8" s="18" t="inlineStr">
        <is>
          <t>Dataset / benchmark landing pages</t>
        </is>
      </c>
      <c r="B8" s="4" t="inlineStr">
        <is>
          <t>/benchmarks/{benchmark-name}</t>
        </is>
      </c>
      <c r="C8" s="4" t="inlineStr">
        <is>
          <t>Valid where the site is publishing original benchmark slices or downloadable structured resources.</t>
        </is>
      </c>
      <c r="D8" s="4" t="inlineStr">
        <is>
          <t>benchmark_name, methodology, update_date, variables, downloadable_files, caveats, related_pages</t>
        </is>
      </c>
      <c r="E8" s="4" t="inlineStr">
        <is>
          <t>Methodology transparency, downloadable data, interpretation notes, visuals, update log</t>
        </is>
      </c>
      <c r="F8" s="4" t="inlineStr">
        <is>
          <t>Canonical to dataset landing page; list pages can be noindex if purely navigational</t>
        </is>
      </c>
      <c r="G8" s="4" t="inlineStr">
        <is>
          <t>Dataset + Article + Breadcrumb</t>
        </is>
      </c>
      <c r="H8" s="4" t="inlineStr">
        <is>
          <t>Publishing shallow tables without interpretation or provenance</t>
        </is>
      </c>
      <c r="I8" s="19" t="inlineStr">
        <is>
          <t>Best used sparingly for recurring original evidence.</t>
        </is>
      </c>
    </row>
    <row r="9" ht="102.5390625" customHeight="1">
      <c r="A9" s="20" t="inlineStr">
        <is>
          <t>Interactive tool landing pages</t>
        </is>
      </c>
      <c r="B9" s="44" t="inlineStr">
        <is>
          <t>/interactive/{tool-name}</t>
        </is>
      </c>
      <c r="C9" s="44" t="inlineStr">
        <is>
          <t>Valid because calculators, diagnostics, and decision tools can solve a problem better than prose alone.</t>
        </is>
      </c>
      <c r="D9" s="44" t="inlineStr">
        <is>
          <t>tool_name, inputs, outputs, formulas_or_rules, examples, related_guides, static_copy</t>
        </is>
      </c>
      <c r="E9" s="44" t="inlineStr">
        <is>
          <t>Crawlable explanatory copy, worked examples, methodology, downloadable worksheet/static fallback</t>
        </is>
      </c>
      <c r="F9" s="44" t="inlineStr">
        <is>
          <t>Canonical self-reference; index if useful as a standalone destination; noindex experiments or thin MVPs</t>
        </is>
      </c>
      <c r="G9" s="44" t="inlineStr">
        <is>
          <t>SoftwareApplication + Breadcrumb; optionally VideoObject on walkthrough pages</t>
        </is>
      </c>
      <c r="H9" s="44" t="inlineStr">
        <is>
          <t>JS-heavy pages with no crawlable explanatory content</t>
        </is>
      </c>
      <c r="I9" s="21" t="inlineStr">
        <is>
          <t>Each tool needs a substantial non-JS fallback and clear educational value.</t>
        </is>
      </c>
    </row>
    <row r="10" ht="102.5390625" customHeight="1">
      <c r="A10" s="20" t="inlineStr">
        <is>
          <t>Repo-backed stack profile pages</t>
        </is>
      </c>
      <c r="B10" s="44" t="inlineStr">
        <is>
          <t>/stack/{tool-or-library}</t>
        </is>
      </c>
      <c r="C10" s="44" t="inlineStr">
        <is>
          <t>Valid because each page ties a tool, library, framework, or repo to real usage across Rajeev's projects rather than abstract feature lists.</t>
        </is>
      </c>
      <c r="D10" s="44" t="inlineStr">
        <is>
          <t>slug, type, where_used, why_chosen, constraints, proof_links, alternatives, best_for, not_for, related_projects</t>
        </is>
      </c>
      <c r="E10" s="44" t="inlineStr">
        <is>
          <t>Where-used table, proof links, failure modes, and recommendation context based on actual projects</t>
        </is>
      </c>
      <c r="F10" s="44" t="inlineStr">
        <is>
          <t>Canonical self-reference; noindex stubs and low-evidence rows; index only pages with at least two real proof links</t>
        </is>
      </c>
      <c r="G10" s="44" t="inlineStr">
        <is>
          <t>Article + Breadcrumb; optionally SoftwareApplication for tool pages</t>
        </is>
      </c>
      <c r="H10" s="44" t="inlineStr">
        <is>
          <t>Thin tool catalog pages with no firsthand usage context</t>
        </is>
      </c>
      <c r="I10" s="21" t="inlineStr">
        <is>
          <t>Use as the structured layer behind curated stack/resource pages, not as open-ended directory spam.</t>
        </is>
      </c>
    </row>
    <row r="11" ht="102.5390625" customHeight="1">
      <c r="A11" s="20" t="inlineStr">
        <is>
          <t>Workflow chain pages</t>
        </is>
      </c>
      <c r="B11" s="44" t="inlineStr">
        <is>
          <t>/workflow-chains/{chain-slug}</t>
        </is>
      </c>
      <c r="C11" s="44" t="inlineStr">
        <is>
          <t>Valid because named chains like repo-bootstrap -&gt; PRD -&gt; proof are repeatable, high-intent, and evidenced across multiple repos.</t>
        </is>
      </c>
      <c r="D11" s="44" t="inlineStr">
        <is>
          <t>chain_slug, steps, prerequisites, outputs, validation, example_repos, anti_patterns, follow_on_chains</t>
        </is>
      </c>
      <c r="E11" s="44" t="inlineStr">
        <is>
          <t>Concrete outputs, validation expectations, example repos, and handoff points</t>
        </is>
      </c>
      <c r="F11" s="44" t="inlineStr">
        <is>
          <t>Canonical self-reference; noindex experimental or duplicate chain variants</t>
        </is>
      </c>
      <c r="G11" s="44" t="inlineStr">
        <is>
          <t>Article + Breadcrumb</t>
        </is>
      </c>
      <c r="H11" s="44" t="inlineStr">
        <is>
          <t>Mass-producing shallow workflow pages that differ only by step names</t>
        </is>
      </c>
      <c r="I11" s="21" t="inlineStr">
        <is>
          <t>Start with a small set of battle-tested chains surfaced in the workflow chain library.</t>
        </is>
      </c>
    </row>
    <row r="12" ht="102.5390625" customHeight="1">
      <c r="A12" s="20" t="inlineStr">
        <is>
          <t>Repo proof pages</t>
        </is>
      </c>
      <c r="B12" s="44" t="inlineStr">
        <is>
          <t>/proof/{project-or-tool}</t>
        </is>
      </c>
      <c r="C12" s="44" t="inlineStr">
        <is>
          <t>Valid where a repo or workspace has real docs, live URLs, screenshots, benchmarks, or artifact bundles that materially deepen the story.</t>
        </is>
      </c>
      <c r="D12" s="44" t="inlineStr">
        <is>
          <t>slug, repo_path, live_url, problem, architecture, evidence, validation, next_steps, related_assets</t>
        </is>
      </c>
      <c r="E12" s="44" t="inlineStr">
        <is>
          <t>Real artifacts, screenshots, runbooks, benchmark links, and what-changed notes</t>
        </is>
      </c>
      <c r="F12" s="44" t="inlineStr">
        <is>
          <t>Canonical self-reference; index only pages backed by real proof artifacts; noindex placeholders</t>
        </is>
      </c>
      <c r="G12" s="44" t="inlineStr">
        <is>
          <t>Article + Breadcrumb</t>
        </is>
      </c>
      <c r="H12" s="44" t="inlineStr">
        <is>
          <t>Orphan proof pages with no flagship or workflow context</t>
        </is>
      </c>
      <c r="I12" s="21" t="inlineStr">
        <is>
          <t>Best used for harvested Code/ projects that already have strong docs and evidence but need site-facing packaging.</t>
        </is>
      </c>
    </row>
  </sheetData>
  <mergeCells count="2">
    <mergeCell ref="A1:I1"/>
    <mergeCell ref="A2:I2"/>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3.56999969482422" customWidth="1" min="1" max="1"/>
    <col width="26.43000030517578" customWidth="1" min="2" max="2"/>
    <col width="13.56999969482422" customWidth="1" min="3" max="3"/>
    <col width="19.29000091552734" customWidth="1" min="4" max="4"/>
    <col width="25" customWidth="1" min="5" max="5"/>
    <col width="25" customWidth="1" min="6" max="6"/>
    <col width="30.70999908447266" customWidth="1" min="7" max="7"/>
    <col width="30.70999908447266" customWidth="1" min="8" max="8"/>
  </cols>
  <sheetData>
    <row r="1">
      <c r="A1" s="31" t="inlineStr">
        <is>
          <t>Interactive visualization and animation opportunities</t>
        </is>
      </c>
    </row>
    <row r="2">
      <c r="A2" s="35" t="inlineStr">
        <is>
          <t>These assets are the 'hard to copy' layer. Each one must solve a real understanding or decision problem better than prose alone, while still remaining valuable in crawlable HTML without relying purely on motion or JavaScript.</t>
        </is>
      </c>
    </row>
    <row r="3" ht="34.1796875" customHeight="1">
      <c r="A3" s="40" t="inlineStr">
        <is>
          <t>Interactive_asset</t>
        </is>
      </c>
      <c r="B3" s="41" t="inlineStr">
        <is>
          <t>User_problem_solved</t>
        </is>
      </c>
      <c r="C3" s="41" t="inlineStr">
        <is>
          <t>Related_asset_ID</t>
        </is>
      </c>
      <c r="D3" s="41" t="inlineStr">
        <is>
          <t>Page_type</t>
        </is>
      </c>
      <c r="E3" s="41" t="inlineStr">
        <is>
          <t>SEO_or_discovery_benefit</t>
        </is>
      </c>
      <c r="F3" s="41" t="inlineStr">
        <is>
          <t>Conversion_or_retention_benefit</t>
        </is>
      </c>
      <c r="G3" s="41" t="inlineStr">
        <is>
          <t>Underlying_data_or_content_model</t>
        </is>
      </c>
      <c r="H3" s="42" t="inlineStr">
        <is>
          <t>Crawlable_fallback_requirement</t>
        </is>
      </c>
    </row>
    <row r="4" ht="102.5390625" customHeight="1">
      <c r="A4" s="16" t="inlineStr">
        <is>
          <t>Agent stack architecture explorer</t>
        </is>
      </c>
      <c r="B4" s="43" t="inlineStr">
        <is>
          <t>Clarifies how prompts, docs, tools, memory, validation, and human checkpoints fit together.</t>
        </is>
      </c>
      <c r="C4" s="43" t="inlineStr">
        <is>
          <t>A26</t>
        </is>
      </c>
      <c r="D4" s="43" t="inlineStr">
        <is>
          <t>Evergreen interactive</t>
        </is>
      </c>
      <c r="E4" s="43" t="inlineStr">
        <is>
          <t>Can earn links, citations, and keep advanced readers on-site longer.</t>
        </is>
      </c>
      <c r="F4" s="43" t="inlineStr">
        <is>
          <t>High retention; supports multiple flagship essays; memorable brand asset.</t>
        </is>
      </c>
      <c r="G4" s="43" t="inlineStr">
        <is>
          <t>Nodes for agent, tool map, workflow doc, readiness state, verifier, human review, output artifact; edge metadata for data/control flow.</t>
        </is>
      </c>
      <c r="H4" s="17" t="inlineStr">
        <is>
          <t>Include a static annotated diagram image, full text explanation, and node-by-node HTML copy.</t>
        </is>
      </c>
    </row>
    <row r="5" ht="85.44921875" customHeight="1">
      <c r="A5" s="18" t="inlineStr">
        <is>
          <t>Automation vs agent decision tree</t>
        </is>
      </c>
      <c r="B5" s="4" t="inlineStr">
        <is>
          <t>Answers the practical 'what should I use here?' question faster than prose.</t>
        </is>
      </c>
      <c r="C5" s="4" t="inlineStr">
        <is>
          <t>A27</t>
        </is>
      </c>
      <c r="D5" s="4" t="inlineStr">
        <is>
          <t>Interactive decision support</t>
        </is>
      </c>
      <c r="E5" s="4" t="inlineStr">
        <is>
          <t>Captures latent workflow intent and can surface for comparison-style queries.</t>
        </is>
      </c>
      <c r="F5" s="4" t="inlineStr">
        <is>
          <t>High return use and strong handoff into playbooks and tools.</t>
        </is>
      </c>
      <c r="G5" s="4" t="inlineStr">
        <is>
          <t>Decision criteria such as ambiguity, repetition, approval need, tolerance for error, latency sensitivity, and maintenance burden.</t>
        </is>
      </c>
      <c r="H5" s="19" t="inlineStr">
        <is>
          <t>Provide the full decision logic in crawlable HTML beneath the tree.</t>
        </is>
      </c>
    </row>
    <row r="6" ht="85.44921875" customHeight="1">
      <c r="A6" s="18" t="inlineStr">
        <is>
          <t>Context window budget calculator</t>
        </is>
      </c>
      <c r="B6" s="4" t="inlineStr">
        <is>
          <t>Helps users estimate whether a task fits a prompt/model/routing strategy before wasting cycles.</t>
        </is>
      </c>
      <c r="C6" s="4" t="inlineStr">
        <is>
          <t>A28</t>
        </is>
      </c>
      <c r="D6" s="4" t="inlineStr">
        <is>
          <t>Utility / calculator</t>
        </is>
      </c>
      <c r="E6" s="4" t="inlineStr">
        <is>
          <t>Strong utility-led discovery and repeat visits.</t>
        </is>
      </c>
      <c r="F6" s="4" t="inlineStr">
        <is>
          <t>Practical daily-use asset for advanced users.</t>
        </is>
      </c>
      <c r="G6" s="4" t="inlineStr">
        <is>
          <t>Inputs for prompt length, docs/files, overhead, compression ratio, safety margin, desired output size.</t>
        </is>
      </c>
      <c r="H6" s="19" t="inlineStr">
        <is>
          <t>Render a worked-example table and formulas in HTML so the page is useful without the calculator UI.</t>
        </is>
      </c>
    </row>
    <row r="7" ht="85.44921875" customHeight="1">
      <c r="A7" s="18" t="inlineStr">
        <is>
          <t>AI maturity self-assessment diagnostic</t>
        </is>
      </c>
      <c r="B7" s="4" t="inlineStr">
        <is>
          <t>Turns an abstract framework into a reusable assessment for teams.</t>
        </is>
      </c>
      <c r="C7" s="4" t="inlineStr">
        <is>
          <t>A29</t>
        </is>
      </c>
      <c r="D7" s="4" t="inlineStr">
        <is>
          <t>Diagnostic</t>
        </is>
      </c>
      <c r="E7" s="4" t="inlineStr">
        <is>
          <t>Shareable framework asset that can attract strategic audiences.</t>
        </is>
      </c>
      <c r="F7" s="4" t="inlineStr">
        <is>
          <t>High retention and future lead value if paired with downloadable scorecard.</t>
        </is>
      </c>
      <c r="G7" s="4" t="inlineStr">
        <is>
          <t>Questions mapped to maturity stages, weighted scoring, recommendation modules, next-step content links.</t>
        </is>
      </c>
      <c r="H7" s="19" t="inlineStr">
        <is>
          <t>Provide a static worksheet version and a written explanation of each maturity stage.</t>
        </is>
      </c>
    </row>
    <row r="8" ht="85.44921875" customHeight="1">
      <c r="A8" s="18" t="inlineStr">
        <is>
          <t>Workflow stack comparison explorer</t>
        </is>
      </c>
      <c r="B8" s="4" t="inlineStr">
        <is>
          <t>Lets users compare build approaches by workflow, not just vendor marketing categories.</t>
        </is>
      </c>
      <c r="C8" s="4" t="inlineStr">
        <is>
          <t>A30</t>
        </is>
      </c>
      <c r="D8" s="4" t="inlineStr">
        <is>
          <t>Explorable comparison</t>
        </is>
      </c>
      <c r="E8" s="4" t="inlineStr">
        <is>
          <t>Captures valuable mid-funnel discovery and supports selective comparison pages.</t>
        </is>
      </c>
      <c r="F8" s="4" t="inlineStr">
        <is>
          <t>Useful recurring asset that deepens the site's distinctiveness.</t>
        </is>
      </c>
      <c r="G8" s="4" t="inlineStr">
        <is>
          <t>Tool entities, criteria matrix, workflow tags, evidence notes, recommendation weights, linked proof pages.</t>
        </is>
      </c>
      <c r="H8" s="19" t="inlineStr">
        <is>
          <t>Expose the comparison summaries, criteria explanations, and key tables in crawlable HTML.</t>
        </is>
      </c>
    </row>
    <row r="9" ht="85.44921875" customHeight="1">
      <c r="A9" s="18" t="inlineStr">
        <is>
          <t>Measurement architecture map</t>
        </is>
      </c>
      <c r="B9" s="4" t="inlineStr">
        <is>
          <t>Shows how consent, tagging, first-party transport, sGTM, GA4, warehousing, and reporting connect.</t>
        </is>
      </c>
      <c r="C9" s="4" t="inlineStr">
        <is>
          <t>Supports A06 / A23</t>
        </is>
      </c>
      <c r="D9" s="4" t="inlineStr">
        <is>
          <t>Interactive diagram</t>
        </is>
      </c>
      <c r="E9" s="4" t="inlineStr">
        <is>
          <t>Useful for analytics queries where diagrams outperform prose.</t>
        </is>
      </c>
      <c r="F9" s="4" t="inlineStr">
        <is>
          <t>Raises trust for the analytics cluster and encourages multi-page sessions.</t>
        </is>
      </c>
      <c r="G9" s="4" t="inlineStr">
        <is>
          <t>System nodes, event flows, implementation notes, screenshots, glossary hooks.</t>
        </is>
      </c>
      <c r="H9" s="19" t="inlineStr">
        <is>
          <t>Pair with a static architecture image, textual sequence description, and linked sub-sections.</t>
        </is>
      </c>
    </row>
    <row r="10" ht="119.62890625" customHeight="1">
      <c r="A10" s="18" t="inlineStr">
        <is>
          <t>Prompt anatomy explainer</t>
        </is>
      </c>
      <c r="B10" s="4" t="inlineStr">
        <is>
          <t>Shows which parts of a build prompt drive outcome quality: objective, context, constraints, files, outputs, setup, acceptance criteria.</t>
        </is>
      </c>
      <c r="C10" s="4" t="inlineStr">
        <is>
          <t>Supports A19 / A35</t>
        </is>
      </c>
      <c r="D10" s="4" t="inlineStr">
        <is>
          <t>Animated explainer</t>
        </is>
      </c>
      <c r="E10" s="4" t="inlineStr">
        <is>
          <t>Can attract top-of-funnel prompt curiosity without becoming generic advice.</t>
        </is>
      </c>
      <c r="F10" s="4" t="inlineStr">
        <is>
          <t>Strong teaching asset and shareable reference.</t>
        </is>
      </c>
      <c r="G10" s="4" t="inlineStr">
        <is>
          <t>Prompt sections, annotations, examples, success/failure commentary.</t>
        </is>
      </c>
      <c r="H10" s="19" t="inlineStr">
        <is>
          <t>Ensure the full annotated prompt is visible in HTML and downloadable as text.</t>
        </is>
      </c>
    </row>
    <row r="11" ht="85.44921875" customHeight="1">
      <c r="A11" s="20" t="inlineStr">
        <is>
          <t>Benchmark explorer</t>
        </is>
      </c>
      <c r="B11" s="44" t="inlineStr">
        <is>
          <t>Makes benchmark data explorable by workflow, stack, time-to-output, revision count, and review burden.</t>
        </is>
      </c>
      <c r="C11" s="44" t="inlineStr">
        <is>
          <t>Supports A36</t>
        </is>
      </c>
      <c r="D11" s="44" t="inlineStr">
        <is>
          <t>Interactive benchmark</t>
        </is>
      </c>
      <c r="E11" s="44" t="inlineStr">
        <is>
          <t>Adds a discoverable data asset that can be cited.</t>
        </is>
      </c>
      <c r="F11" s="44" t="inlineStr">
        <is>
          <t>Creates a reason to return as new benchmark slices are added.</t>
        </is>
      </c>
      <c r="G11" s="44" t="inlineStr">
        <is>
          <t>Benchmark rows, methodology metadata, update logs, downloadable CSVs, filter facets.</t>
        </is>
      </c>
      <c r="H11" s="21" t="inlineStr">
        <is>
          <t>Publish summary tables, methodology notes, and downloadable data links in crawlable HTML.</t>
        </is>
      </c>
    </row>
    <row r="12" ht="85.44921875" customHeight="1">
      <c r="A12" s="20" t="inlineStr">
        <is>
          <t>Browser automation benchmark explorer</t>
        </is>
      </c>
      <c r="B12" s="44" t="inlineStr">
        <is>
          <t>Lets readers compare browser tools by journey type, browser state, proof quality, and commercial-step resilience.</t>
        </is>
      </c>
      <c r="C12" s="44" t="inlineStr">
        <is>
          <t>A40</t>
        </is>
      </c>
      <c r="D12" s="44" t="inlineStr">
        <is>
          <t>Interactive benchmark</t>
        </is>
      </c>
      <c r="E12" s="44" t="inlineStr">
        <is>
          <t>Strong utility-led discovery and benchmark citations.</t>
        </is>
      </c>
      <c r="F12" s="44" t="inlineStr">
        <is>
          <t>High repeat use for tool selection and stakeholder discussions.</t>
        </is>
      </c>
      <c r="G12" s="44" t="inlineStr">
        <is>
          <t>Tool rows, score buckets, browser-state modes, journey metadata, proof links.</t>
        </is>
      </c>
      <c r="H12" s="21" t="inlineStr">
        <is>
          <t>Publish the methodology, top findings, and static comparison tables in HTML beneath the UI.</t>
        </is>
      </c>
    </row>
    <row r="13" ht="85.44921875" customHeight="1">
      <c r="A13" s="20" t="inlineStr">
        <is>
          <t>Model recommendation explorer</t>
        </is>
      </c>
      <c r="B13" s="44" t="inlineStr">
        <is>
          <t>Turns workbook-style model selection into a filterable explorer without hiding the cohort rules and scoring weights.</t>
        </is>
      </c>
      <c r="C13" s="44" t="inlineStr">
        <is>
          <t>A47</t>
        </is>
      </c>
      <c r="D13" s="44" t="inlineStr">
        <is>
          <t>Interactive benchmark</t>
        </is>
      </c>
      <c r="E13" s="44" t="inlineStr">
        <is>
          <t>Captures comparison intent that broad essays miss.</t>
        </is>
      </c>
      <c r="F13" s="44" t="inlineStr">
        <is>
          <t>High return usage as models and costs change.</t>
        </is>
      </c>
      <c r="G13" s="44" t="inlineStr">
        <is>
          <t>Scenario presets, cohort flags, normalized benchmark fields, pricing/context metadata.</t>
        </is>
      </c>
      <c r="H13" s="21" t="inlineStr">
        <is>
          <t>Show the recommendation logic, weights, and summary tables in crawlable HTML.</t>
        </is>
      </c>
    </row>
    <row r="14" ht="85.44921875" customHeight="1">
      <c r="A14" s="20" t="inlineStr">
        <is>
          <t>Extraction ladder explorer</t>
        </is>
      </c>
      <c r="B14" s="44" t="inlineStr">
        <is>
          <t>Helps users decide when to use structured data, DOM extraction, constrained LLM extraction, or a site adapter.</t>
        </is>
      </c>
      <c r="C14" s="44" t="inlineStr">
        <is>
          <t>A44</t>
        </is>
      </c>
      <c r="D14" s="44" t="inlineStr">
        <is>
          <t>Interactive decision support</t>
        </is>
      </c>
      <c r="E14" s="44" t="inlineStr">
        <is>
          <t>Useful for messy-site extraction queries where diagrams beat prose.</t>
        </is>
      </c>
      <c r="F14" s="44" t="inlineStr">
        <is>
          <t>Keeps builders engaged as they test different failure modes.</t>
        </is>
      </c>
      <c r="G14" s="44" t="inlineStr">
        <is>
          <t>Extraction stages, escalation rules, evidence requirements, example failure cases.</t>
        </is>
      </c>
      <c r="H14" s="21" t="inlineStr">
        <is>
          <t>Include the full ordered ladder, rules, and worked examples in HTML.</t>
        </is>
      </c>
    </row>
    <row r="15" ht="85.44921875" customHeight="1">
      <c r="A15" s="20" t="inlineStr">
        <is>
          <t>Repo activity atlas</t>
        </is>
      </c>
      <c r="B15" s="44" t="inlineStr">
        <is>
          <t>Shows how repo activity becomes diary entries, related concepts, and search-ready public content.</t>
        </is>
      </c>
      <c r="C15" s="44" t="inlineStr">
        <is>
          <t>A48</t>
        </is>
      </c>
      <c r="D15" s="44" t="inlineStr">
        <is>
          <t>Interactive archive map</t>
        </is>
      </c>
      <c r="E15" s="44" t="inlineStr">
        <is>
          <t>Can attract 'build in public' and content-ops curiosity traffic.</t>
        </is>
      </c>
      <c r="F15" s="44" t="inlineStr">
        <is>
          <t>Supports longer sessions by turning one diary entry into a content journey.</t>
        </is>
      </c>
      <c r="G15" s="44" t="inlineStr">
        <is>
          <t>Repo-day snapshots, signal scores, linked projects/articles/concepts, refresh-gate metadata.</t>
        </is>
      </c>
      <c r="H15" s="21" t="inlineStr">
        <is>
          <t>Provide a static sequence diagram and sample diary outputs in crawlable HTML.</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9.289999961853027" customWidth="1" min="1" max="1"/>
    <col width="43.56999969482422" customWidth="1" min="2" max="2"/>
    <col width="17.86000061035156" customWidth="1" min="3" max="3"/>
    <col width="36.43000030517578" customWidth="1" min="4" max="4"/>
    <col width="30.70999908447266" customWidth="1" min="5" max="5"/>
  </cols>
  <sheetData>
    <row r="1">
      <c r="A1" s="31" t="inlineStr">
        <is>
          <t>Research sources and citation ledger</t>
        </is>
      </c>
    </row>
    <row r="2">
      <c r="A2" s="35" t="inlineStr">
        <is>
          <t>All URLs are included as plain text so the workbook remains self-contained. Google Search Central documentation is used for people-first, structured-data, canonicalization, and spam-risk guidance; rajeevg.com URLs anchor the strategy in the site's existing proof and current information architecture.</t>
        </is>
      </c>
    </row>
    <row r="3" ht="34.1796875" customHeight="1">
      <c r="A3" s="40" t="inlineStr">
        <is>
          <t>Source_ID</t>
        </is>
      </c>
      <c r="B3" s="41" t="inlineStr">
        <is>
          <t>URL</t>
        </is>
      </c>
      <c r="C3" s="41" t="inlineStr">
        <is>
          <t>Source_type</t>
        </is>
      </c>
      <c r="D3" s="41" t="inlineStr">
        <is>
          <t>How_used_in_this_workbook</t>
        </is>
      </c>
      <c r="E3" s="42" t="inlineStr">
        <is>
          <t>Notes</t>
        </is>
      </c>
    </row>
    <row r="4" ht="68.359375" customHeight="1">
      <c r="A4" s="16" t="inlineStr">
        <is>
          <t>S01</t>
        </is>
      </c>
      <c r="B4" s="43" t="inlineStr">
        <is>
          <t>https://developers.google.com/search/docs/fundamentals/creating-helpful-content</t>
        </is>
      </c>
      <c r="C4" s="43" t="inlineStr">
        <is>
          <t>Google Search Central</t>
        </is>
      </c>
      <c r="D4" s="43" t="inlineStr">
        <is>
          <t>People-first content, firsthand expertise, and originality principles used throughout the matrix.</t>
        </is>
      </c>
      <c r="E4" s="17" t="inlineStr">
        <is>
          <t>Use as the governing filter for every scalable recommendation.</t>
        </is>
      </c>
    </row>
    <row r="5" ht="51.26953125" customHeight="1">
      <c r="A5" s="18" t="inlineStr">
        <is>
          <t>S02</t>
        </is>
      </c>
      <c r="B5" s="4" t="inlineStr">
        <is>
          <t>https://developers.google.com/search/docs/essentials/spam-policies</t>
        </is>
      </c>
      <c r="C5" s="4" t="inlineStr">
        <is>
          <t>Google Search Central</t>
        </is>
      </c>
      <c r="D5" s="4" t="inlineStr">
        <is>
          <t>Scaled-content abuse caution for programmatic SEO recommendations.</t>
        </is>
      </c>
      <c r="E5" s="19" t="inlineStr">
        <is>
          <t>Used to justify selective indexing and anti-thin-content guidance.</t>
        </is>
      </c>
    </row>
    <row r="6" ht="34.1796875" customHeight="1">
      <c r="A6" s="18" t="inlineStr">
        <is>
          <t>S03</t>
        </is>
      </c>
      <c r="B6" s="4" t="inlineStr">
        <is>
          <t>https://developers.google.com/search/docs/essentials</t>
        </is>
      </c>
      <c r="C6" s="4" t="inlineStr">
        <is>
          <t>Google Search Central</t>
        </is>
      </c>
      <c r="D6" s="4" t="inlineStr">
        <is>
          <t>Baseline technical/search eligibility guidance.</t>
        </is>
      </c>
      <c r="E6" s="19" t="inlineStr">
        <is>
          <t>Useful for the IA and technical hygiene layer.</t>
        </is>
      </c>
    </row>
    <row r="7" ht="51.26953125" customHeight="1">
      <c r="A7" s="18" t="inlineStr">
        <is>
          <t>S04</t>
        </is>
      </c>
      <c r="B7" s="4" t="inlineStr">
        <is>
          <t>https://developers.google.com/search/docs/guides/intro-structured-data</t>
        </is>
      </c>
      <c r="C7" s="4" t="inlineStr">
        <is>
          <t>Google Search Central</t>
        </is>
      </c>
      <c r="D7" s="4" t="inlineStr">
        <is>
          <t>Why structured data helps Google understand pages and eligibility for rich results.</t>
        </is>
      </c>
      <c r="E7" s="19" t="inlineStr">
        <is>
          <t>Supports machine-readable content recommendations.</t>
        </is>
      </c>
    </row>
    <row r="8" ht="51.26953125" customHeight="1">
      <c r="A8" s="18" t="inlineStr">
        <is>
          <t>S05</t>
        </is>
      </c>
      <c r="B8" s="4" t="inlineStr">
        <is>
          <t>https://developers.google.com/search/docs/appearance/structured-data/article</t>
        </is>
      </c>
      <c r="C8" s="4" t="inlineStr">
        <is>
          <t>Google Search Central</t>
        </is>
      </c>
      <c r="D8" s="4" t="inlineStr">
        <is>
          <t>Article schema recommendation for essays, guides, and case studies.</t>
        </is>
      </c>
      <c r="E8" s="19" t="inlineStr">
        <is>
          <t>Primary schema for most editorial pages.</t>
        </is>
      </c>
    </row>
    <row r="9" ht="51.26953125" customHeight="1">
      <c r="A9" s="18" t="inlineStr">
        <is>
          <t>S06</t>
        </is>
      </c>
      <c r="B9" s="4" t="inlineStr">
        <is>
          <t>https://developers.google.com/search/docs/appearance/structured-data/breadcrumb</t>
        </is>
      </c>
      <c r="C9" s="4" t="inlineStr">
        <is>
          <t>Google Search Central</t>
        </is>
      </c>
      <c r="D9" s="4" t="inlineStr">
        <is>
          <t>Breadcrumb markup guidance for site hierarchy and navigation.</t>
        </is>
      </c>
      <c r="E9" s="19" t="inlineStr">
        <is>
          <t>Supports clean IA and rich-result eligibility.</t>
        </is>
      </c>
    </row>
    <row r="10" ht="51.26953125" customHeight="1">
      <c r="A10" s="18" t="inlineStr">
        <is>
          <t>S07</t>
        </is>
      </c>
      <c r="B10" s="4" t="inlineStr">
        <is>
          <t>https://developers.google.com/search/docs/appearance/structured-data/profile-page</t>
        </is>
      </c>
      <c r="C10" s="4" t="inlineStr">
        <is>
          <t>Google Search Central</t>
        </is>
      </c>
      <c r="D10" s="4" t="inlineStr">
        <is>
          <t>ProfilePage guidance for author/about pages that expose first-hand perspective.</t>
        </is>
      </c>
      <c r="E10" s="19" t="inlineStr">
        <is>
          <t>Important for a personal authority site.</t>
        </is>
      </c>
    </row>
    <row r="11" ht="68.359375" customHeight="1">
      <c r="A11" s="18" t="inlineStr">
        <is>
          <t>S08</t>
        </is>
      </c>
      <c r="B11" s="4" t="inlineStr">
        <is>
          <t>https://developers.google.com/search/docs/data-types/dataset</t>
        </is>
      </c>
      <c r="C11" s="4" t="inlineStr">
        <is>
          <t>Google Search Central</t>
        </is>
      </c>
      <c r="D11" s="4" t="inlineStr">
        <is>
          <t>Dataset markup guidance for downloadable resources, benchmarks, and structured assets.</t>
        </is>
      </c>
      <c r="E11" s="19" t="inlineStr">
        <is>
          <t>Used for resource and benchmark page recommendations.</t>
        </is>
      </c>
    </row>
    <row r="12" ht="51.26953125" customHeight="1">
      <c r="A12" s="18" t="inlineStr">
        <is>
          <t>S09</t>
        </is>
      </c>
      <c r="B12" s="4" t="inlineStr">
        <is>
          <t>https://developers.google.com/search/docs/appearance/structured-data/video</t>
        </is>
      </c>
      <c r="C12" s="4" t="inlineStr">
        <is>
          <t>Google Search Central</t>
        </is>
      </c>
      <c r="D12" s="4" t="inlineStr">
        <is>
          <t>VideoObject guidance for narrated walkthroughs or motion-led explainers.</t>
        </is>
      </c>
      <c r="E12" s="19" t="inlineStr">
        <is>
          <t>Useful when interactive/animated assets also have watch pages.</t>
        </is>
      </c>
    </row>
    <row r="13" ht="51.26953125" customHeight="1">
      <c r="A13" s="18" t="inlineStr">
        <is>
          <t>S10</t>
        </is>
      </c>
      <c r="B13" s="4" t="inlineStr">
        <is>
          <t>https://developers.google.com/search/docs/appearance/structured-data/software-app</t>
        </is>
      </c>
      <c r="C13" s="4" t="inlineStr">
        <is>
          <t>Google Search Central</t>
        </is>
      </c>
      <c r="D13" s="4" t="inlineStr">
        <is>
          <t>SoftwareApplication guidance for calculators/diagnostics where appropriate.</t>
        </is>
      </c>
      <c r="E13" s="19" t="inlineStr">
        <is>
          <t>Used carefully for tool-like interactive assets.</t>
        </is>
      </c>
    </row>
    <row r="14" ht="51.26953125" customHeight="1">
      <c r="A14" s="18" t="inlineStr">
        <is>
          <t>S11</t>
        </is>
      </c>
      <c r="B14" s="4" t="inlineStr">
        <is>
          <t>https://developers.google.com/search/docs/appearance/structured-data/qapage</t>
        </is>
      </c>
      <c r="C14" s="4" t="inlineStr">
        <is>
          <t>Google Search Central</t>
        </is>
      </c>
      <c r="D14" s="4" t="inlineStr">
        <is>
          <t>QAPage boundaries and when Q&amp;A markup is appropriate.</t>
        </is>
      </c>
      <c r="E14" s="19" t="inlineStr">
        <is>
          <t>Useful to avoid mis-marking editorial essays as Q&amp;A pages.</t>
        </is>
      </c>
    </row>
    <row r="15" ht="68.359375" customHeight="1">
      <c r="A15" s="18" t="inlineStr">
        <is>
          <t>S12</t>
        </is>
      </c>
      <c r="B15" s="4" t="inlineStr">
        <is>
          <t>https://developers.google.com/search/docs/appearance/structured-data/faqpage</t>
        </is>
      </c>
      <c r="C15" s="4" t="inlineStr">
        <is>
          <t>Google Search Central</t>
        </is>
      </c>
      <c r="D15" s="4" t="inlineStr">
        <is>
          <t>FAQ rich-result restrictions: only health/government authoritative sites.</t>
        </is>
      </c>
      <c r="E15" s="19" t="inlineStr">
        <is>
          <t>Used to avoid over-recommending FAQPage markup on rajeevg.com.</t>
        </is>
      </c>
    </row>
    <row r="16" ht="51.26953125" customHeight="1">
      <c r="A16" s="18" t="inlineStr">
        <is>
          <t>S13</t>
        </is>
      </c>
      <c r="B16" s="4" t="inlineStr">
        <is>
          <t>https://developers.google.com/search/docs/crawling-indexing/consolidate-duplicate-urls</t>
        </is>
      </c>
      <c r="C16" s="4" t="inlineStr">
        <is>
          <t>Google Search Central</t>
        </is>
      </c>
      <c r="D16" s="4" t="inlineStr">
        <is>
          <t>Canonicalization guidance for selective programmatic templates.</t>
        </is>
      </c>
      <c r="E16" s="19" t="inlineStr">
        <is>
          <t>Supports indexing/canonical recommendations.</t>
        </is>
      </c>
    </row>
    <row r="17" ht="51.26953125" customHeight="1">
      <c r="A17" s="18" t="inlineStr">
        <is>
          <t>S14</t>
        </is>
      </c>
      <c r="B17" s="4" t="inlineStr">
        <is>
          <t>https://rajeevg.com</t>
        </is>
      </c>
      <c r="C17" s="4" t="inlineStr">
        <is>
          <t>rajeevg.com</t>
        </is>
      </c>
      <c r="D17" s="4" t="inlineStr">
        <is>
          <t>Current site structure, existing posts, and evidence of topical direction.</t>
        </is>
      </c>
      <c r="E17" s="19" t="inlineStr">
        <is>
          <t>Used to anchor recommendations in current site reality.</t>
        </is>
      </c>
    </row>
    <row r="18" ht="34.1796875" customHeight="1">
      <c r="A18" s="18" t="inlineStr">
        <is>
          <t>S15</t>
        </is>
      </c>
      <c r="B18" s="4" t="inlineStr">
        <is>
          <t>https://rajeevg.com/blog/how-we-built-a-consented-first-party-analytics-stack</t>
        </is>
      </c>
      <c r="C18" s="4" t="inlineStr">
        <is>
          <t>rajeevg.com</t>
        </is>
      </c>
      <c r="D18" s="4" t="inlineStr">
        <is>
          <t>Existing proof asset for analytics-engineering authority.</t>
        </is>
      </c>
      <c r="E18" s="19" t="inlineStr">
        <is>
          <t>Core trust-transfer page inside the matrix.</t>
        </is>
      </c>
    </row>
    <row r="19" ht="51.26953125" customHeight="1">
      <c r="A19" s="18" t="inlineStr">
        <is>
          <t>S16</t>
        </is>
      </c>
      <c r="B19" s="4" t="inlineStr">
        <is>
          <t>https://rajeevg.com/blog/from-ai-pilots-to-business-value</t>
        </is>
      </c>
      <c r="C19" s="4" t="inlineStr">
        <is>
          <t>rajeevg.com</t>
        </is>
      </c>
      <c r="D19" s="4" t="inlineStr">
        <is>
          <t>Existing point-of-view page aligned with business-value messaging.</t>
        </is>
      </c>
      <c r="E19" s="19" t="inlineStr">
        <is>
          <t>Useful flagship authority page to expand.</t>
        </is>
      </c>
    </row>
    <row r="20" ht="34.1796875" customHeight="1">
      <c r="A20" s="18" t="inlineStr">
        <is>
          <t>S17</t>
        </is>
      </c>
      <c r="B20" s="4" t="inlineStr">
        <is>
          <t>https://rajeevg.com/blog/how-we-built-the-hackathon-voting-app</t>
        </is>
      </c>
      <c r="C20" s="4" t="inlineStr">
        <is>
          <t>rajeevg.com</t>
        </is>
      </c>
      <c r="D20" s="4" t="inlineStr">
        <is>
          <t>Existing prototype-delivery proof page.</t>
        </is>
      </c>
      <c r="E20" s="19" t="inlineStr">
        <is>
          <t>Supports builder credibility and case-study linking.</t>
        </is>
      </c>
    </row>
    <row r="21" ht="51.26953125" customHeight="1">
      <c r="A21" s="20" t="inlineStr">
        <is>
          <t>S18</t>
        </is>
      </c>
      <c r="B21" s="44" t="inlineStr">
        <is>
          <t>https://rajeevg.com/projects/site-analytics</t>
        </is>
      </c>
      <c r="C21" s="44" t="inlineStr">
        <is>
          <t>rajeevg.com</t>
        </is>
      </c>
      <c r="D21" s="44" t="inlineStr">
        <is>
          <t>Existing project proof page tied to analytics implementation.</t>
        </is>
      </c>
      <c r="E21" s="21" t="inlineStr">
        <is>
          <t>Useful as a concise proof surface linked from editorial content.</t>
        </is>
      </c>
    </row>
    <row r="22" ht="51.26953125" customHeight="1">
      <c r="A22" s="20" t="inlineStr">
        <is>
          <t>S19</t>
        </is>
      </c>
      <c r="B22" s="44" t="inlineStr">
        <is>
          <t>/Users/rajeev/Code/automation-hub/README.md</t>
        </is>
      </c>
      <c r="C22" s="44" t="inlineStr">
        <is>
          <t>Local repo doc</t>
        </is>
      </c>
      <c r="D22" s="44" t="inlineStr">
        <is>
          <t>Control-plane positioning and Automation Hub product framing used for A37 and A38.</t>
        </is>
      </c>
      <c r="E22" s="21" t="inlineStr">
        <is>
          <t>Pairs with the self-improving loop and cockpit docs.</t>
        </is>
      </c>
    </row>
    <row r="23" ht="51.26953125" customHeight="1">
      <c r="A23" s="20" t="inlineStr">
        <is>
          <t>S20</t>
        </is>
      </c>
      <c r="B23" s="44" t="inlineStr">
        <is>
          <t>/Users/rajeev/Code/automation-hub/docs/self-improving-loop.md</t>
        </is>
      </c>
      <c r="C23" s="44" t="inlineStr">
        <is>
          <t>Local repo doc</t>
        </is>
      </c>
      <c r="D23" s="44" t="inlineStr">
        <is>
          <t>Self-improving delivery loop stages, corrective-action ledger, and proof surfaces for A37.</t>
        </is>
      </c>
      <c r="E23" s="21" t="inlineStr">
        <is>
          <t>High-signal methodology source.</t>
        </is>
      </c>
    </row>
    <row r="24" ht="51.26953125" customHeight="1">
      <c r="A24" s="20" t="inlineStr">
        <is>
          <t>S21</t>
        </is>
      </c>
      <c r="B24" s="44" t="inlineStr">
        <is>
          <t>/Users/rajeev/Code/browser-automation-tools/evaluation/benchmark-report.md</t>
        </is>
      </c>
      <c r="C24" s="44" t="inlineStr">
        <is>
          <t>Local benchmark report</t>
        </is>
      </c>
      <c r="D24" s="44" t="inlineStr">
        <is>
          <t>Primary evidence for browser automation benchmark pages A39 and A40.</t>
        </is>
      </c>
      <c r="E24" s="21" t="inlineStr">
        <is>
          <t>Use with the benchmark matrix and README.</t>
        </is>
      </c>
    </row>
    <row r="25" ht="51.26953125" customHeight="1">
      <c r="A25" s="20" t="inlineStr">
        <is>
          <t>S22</t>
        </is>
      </c>
      <c r="B25" s="44" t="inlineStr">
        <is>
          <t>/Users/rajeev/Code/project-zenith/docs/foundation/browser-automation-tools-review.md</t>
        </is>
      </c>
      <c r="C25" s="44" t="inlineStr">
        <is>
          <t>Local foundation review</t>
        </is>
      </c>
      <c r="D25" s="44" t="inlineStr">
        <is>
          <t>Browser-assisted measurement trust positioning for A41.</t>
        </is>
      </c>
      <c r="E25" s="21" t="inlineStr">
        <is>
          <t>Bridges benchmark evidence into Zenith framing.</t>
        </is>
      </c>
    </row>
    <row r="26" ht="51.26953125" customHeight="1">
      <c r="A26" s="20" t="inlineStr">
        <is>
          <t>S23</t>
        </is>
      </c>
      <c r="B26" s="44" t="inlineStr">
        <is>
          <t>/Users/rajeev/Code/auto-audit-harness/README.md</t>
        </is>
      </c>
      <c r="C26" s="44" t="inlineStr">
        <is>
          <t>Local repo doc</t>
        </is>
      </c>
      <c r="D26" s="44" t="inlineStr">
        <is>
          <t>Evidence-bundle, decoded-hit, verifier, and runner architecture inputs for A41 and A42.</t>
        </is>
      </c>
      <c r="E26" s="21" t="inlineStr">
        <is>
          <t>Pairs with ARCHITECTURE.md.</t>
        </is>
      </c>
    </row>
    <row r="27" ht="51.26953125" customHeight="1">
      <c r="A27" s="20" t="inlineStr">
        <is>
          <t>S24</t>
        </is>
      </c>
      <c r="B27" s="44" t="inlineStr">
        <is>
          <t>/Users/rajeev/Code/property-search/docs/design-docs/extraction-ladder.md</t>
        </is>
      </c>
      <c r="C27" s="44" t="inlineStr">
        <is>
          <t>Local design doc</t>
        </is>
      </c>
      <c r="D27" s="44" t="inlineStr">
        <is>
          <t>Extraction-ladder ordering and evidence rules for A44.</t>
        </is>
      </c>
      <c r="E27" s="21" t="inlineStr">
        <is>
          <t>Core operator heuristic.</t>
        </is>
      </c>
    </row>
    <row r="28" ht="51.26953125" customHeight="1">
      <c r="A28" s="20" t="inlineStr">
        <is>
          <t>S25</t>
        </is>
      </c>
      <c r="B28" s="44" t="inlineStr">
        <is>
          <t>/Users/rajeev/Code/rtm-hunt/README.md</t>
        </is>
      </c>
      <c r="C28" s="44" t="inlineStr">
        <is>
          <t>Local repo doc</t>
        </is>
      </c>
      <c r="D28" s="44" t="inlineStr">
        <is>
          <t>Seed-registry and benchmark spreadsheet workflow inputs for A45.</t>
        </is>
      </c>
      <c r="E28" s="21" t="inlineStr">
        <is>
          <t>Useful proof of provenance-first data work.</t>
        </is>
      </c>
    </row>
    <row r="29" ht="51.26953125" customHeight="1">
      <c r="A29" s="20" t="inlineStr">
        <is>
          <t>S26</t>
        </is>
      </c>
      <c r="B29" s="44" t="inlineStr">
        <is>
          <t>/Users/rajeev/Code/openrouter-model-workbook-maintainer-v2/docs/methodology.md</t>
        </is>
      </c>
      <c r="C29" s="44" t="inlineStr">
        <is>
          <t>Local methodology doc</t>
        </is>
      </c>
      <c r="D29" s="44" t="inlineStr">
        <is>
          <t>Cohort rules, scoring, and enrichment policies for A46 and A47.</t>
        </is>
      </c>
      <c r="E29" s="21" t="inlineStr">
        <is>
          <t>Key benchmark provenance source.</t>
        </is>
      </c>
    </row>
    <row r="30" ht="51.26953125" customHeight="1">
      <c r="A30" s="20" t="inlineStr">
        <is>
          <t>S27</t>
        </is>
      </c>
      <c r="B30" s="44" t="inlineStr">
        <is>
          <t>/Users/rajeev/Code/workflow-garden/docs/ops/diary-pipeline.md</t>
        </is>
      </c>
      <c r="C30" s="44" t="inlineStr">
        <is>
          <t>Local workflow doc</t>
        </is>
      </c>
      <c r="D30" s="44" t="inlineStr">
        <is>
          <t>Repo-activity-to-public-diary method and refresh-gate details for A48.</t>
        </is>
      </c>
      <c r="E30" s="21" t="inlineStr">
        <is>
          <t>Strong content-ops source.</t>
        </is>
      </c>
    </row>
    <row r="31" ht="51.26953125" customHeight="1">
      <c r="A31" s="20" t="inlineStr">
        <is>
          <t>S28</t>
        </is>
      </c>
      <c r="B31" s="44" t="inlineStr">
        <is>
          <t>/Users/rajeev/Code/mark-notes/docs/product-specs/cross-platform-ux-foundation.md</t>
        </is>
      </c>
      <c r="C31" s="44" t="inlineStr">
        <is>
          <t>Local product spec</t>
        </is>
      </c>
      <c r="D31" s="44" t="inlineStr">
        <is>
          <t>Cross-platform calm-editor UX baseline for A49 and A50.</t>
        </is>
      </c>
      <c r="E31" s="21" t="inlineStr">
        <is>
          <t>Use with the AI autocomplete notes.</t>
        </is>
      </c>
    </row>
    <row r="32" ht="51.26953125" customHeight="1">
      <c r="A32" s="20" t="inlineStr">
        <is>
          <t>S29</t>
        </is>
      </c>
      <c r="B32" s="44" t="inlineStr">
        <is>
          <t>/Users/rajeev/Code/mark-notes/docs/references/ai-autocomplete-notes.md</t>
        </is>
      </c>
      <c r="C32" s="44" t="inlineStr">
        <is>
          <t>Local research note</t>
        </is>
      </c>
      <c r="D32" s="44" t="inlineStr">
        <is>
          <t>Provider-portable autocomplete contract and streaming constraints for A49.</t>
        </is>
      </c>
      <c r="E32" s="21" t="inlineStr">
        <is>
          <t>Supports the quiet-writing-aid angle.</t>
        </is>
      </c>
    </row>
    <row r="33" ht="51.26953125" customHeight="1">
      <c r="A33" s="20" t="inlineStr">
        <is>
          <t>S30</t>
        </is>
      </c>
      <c r="B33" s="44" t="inlineStr">
        <is>
          <t>/Users/rajeev/Code/mini-lit/docs/next-webcomponent-overview.md</t>
        </is>
      </c>
      <c r="C33" s="44" t="inlineStr">
        <is>
          <t>Local runtime overview</t>
        </is>
      </c>
      <c r="D33" s="44" t="inlineStr">
        <is>
          <t>Web-component runtime details and reactivity model for A51.</t>
        </is>
      </c>
      <c r="E33" s="21" t="inlineStr">
        <is>
          <t>Teardown source.</t>
        </is>
      </c>
    </row>
    <row r="34" ht="51.26953125" customHeight="1">
      <c r="A34" s="20" t="inlineStr">
        <is>
          <t>S31</t>
        </is>
      </c>
      <c r="B34" s="44" t="inlineStr">
        <is>
          <t>/Users/rajeev/Code/choice-compass/docs/product-specs/choice-compass-research.md</t>
        </is>
      </c>
      <c r="C34" s="44" t="inlineStr">
        <is>
          <t>Local research pack</t>
        </is>
      </c>
      <c r="D34" s="44" t="inlineStr">
        <is>
          <t>Evidence for A52 and the workflow-chain examples in A54.</t>
        </is>
      </c>
      <c r="E34" s="21" t="inlineStr">
        <is>
          <t>Good small-product proof source.</t>
        </is>
      </c>
    </row>
    <row r="35" ht="51.26953125" customHeight="1">
      <c r="A35" s="20" t="inlineStr">
        <is>
          <t>S32</t>
        </is>
      </c>
      <c r="B35" s="44" t="inlineStr">
        <is>
          <t>/Users/rajeev/Code/proof-pack/docs/prd/proof-pack-mvp.md</t>
        </is>
      </c>
      <c r="C35" s="44" t="inlineStr">
        <is>
          <t>Local PRD</t>
        </is>
      </c>
      <c r="D35" s="44" t="inlineStr">
        <is>
          <t>Observed-vs-inferred review outputs and explainable score framing for A53.</t>
        </is>
      </c>
      <c r="E35" s="21" t="inlineStr">
        <is>
          <t>Pairs with Proof Pack README.</t>
        </is>
      </c>
    </row>
    <row r="36" ht="51.26953125" customHeight="1">
      <c r="A36" s="20" t="inlineStr">
        <is>
          <t>S33</t>
        </is>
      </c>
      <c r="B36" s="44" t="inlineStr">
        <is>
          <t>/Users/rajeev/Code/hackathon-voting-prototype/docs/google-tagging-stack.md</t>
        </is>
      </c>
      <c r="C36" s="44" t="inlineStr">
        <is>
          <t>Local implementation doc</t>
        </is>
      </c>
      <c r="D36" s="44" t="inlineStr">
        <is>
          <t>Consent-aware event instrumentation and first-party tagging details for A43.</t>
        </is>
      </c>
      <c r="E36" s="21" t="inlineStr">
        <is>
          <t>Use with the repo README and analytics proof.</t>
        </is>
      </c>
    </row>
    <row r="37" ht="51.26953125" customHeight="1">
      <c r="A37" s="20" t="inlineStr">
        <is>
          <t>S34</t>
        </is>
      </c>
      <c r="B37" s="44" t="inlineStr">
        <is>
          <t>/Users/rajeev/Code/README.md</t>
        </is>
      </c>
      <c r="C37" s="44" t="inlineStr">
        <is>
          <t>Workspace guide</t>
        </is>
      </c>
      <c r="D37" s="44" t="inlineStr">
        <is>
          <t>Workflow-chain and prompt-pack inputs for A54.</t>
        </is>
      </c>
      <c r="E37" s="21" t="inlineStr">
        <is>
          <t>Core process source.</t>
        </is>
      </c>
    </row>
    <row r="38" ht="51.26953125" customHeight="1">
      <c r="A38" s="20" t="inlineStr">
        <is>
          <t>S35</t>
        </is>
      </c>
      <c r="B38" s="44" t="inlineStr">
        <is>
          <t>/Users/rajeev/Code/system-memory/README.md</t>
        </is>
      </c>
      <c r="C38" s="44" t="inlineStr">
        <is>
          <t>Local system doc</t>
        </is>
      </c>
      <c r="D38" s="44" t="inlineStr">
        <is>
          <t>QMD mirror architecture and source-of-truth rules for A55.</t>
        </is>
      </c>
      <c r="E38" s="21" t="inlineStr">
        <is>
          <t>Core memory-system source.</t>
        </is>
      </c>
    </row>
    <row r="39" ht="51.26953125" customHeight="1">
      <c r="A39" s="20" t="inlineStr">
        <is>
          <t>S36</t>
        </is>
      </c>
      <c r="B39" s="44" t="inlineStr">
        <is>
          <t>/Users/rajeev/Code/multi-agent-orchestration-demo/docs/references/multi-agent-patterns-and-frameworks.md</t>
        </is>
      </c>
      <c r="C39" s="44" t="inlineStr">
        <is>
          <t>Local research note</t>
        </is>
      </c>
      <c r="D39" s="44" t="inlineStr">
        <is>
          <t>Pattern and framework guidance for A56.</t>
        </is>
      </c>
      <c r="E39" s="21" t="inlineStr">
        <is>
          <t>Use with the demo README.</t>
        </is>
      </c>
    </row>
    <row r="40" ht="51.26953125" customHeight="1">
      <c r="A40" s="20" t="inlineStr">
        <is>
          <t>S37</t>
        </is>
      </c>
      <c r="B40" s="44" t="inlineStr">
        <is>
          <t>/Users/rajeev/Code/tools/README.md</t>
        </is>
      </c>
      <c r="C40" s="44" t="inlineStr">
        <is>
          <t>Local tooling doc</t>
        </is>
      </c>
      <c r="D40" s="44" t="inlineStr">
        <is>
          <t>Shared tooling and CLI stack inputs for A54, A55, and A57.</t>
        </is>
      </c>
      <c r="E40" s="21" t="inlineStr">
        <is>
          <t>Useful for stack curation.</t>
        </is>
      </c>
    </row>
    <row r="41" ht="51.26953125" customHeight="1">
      <c r="A41" s="20" t="inlineStr">
        <is>
          <t>S38</t>
        </is>
      </c>
      <c r="B41" s="44" t="inlineStr">
        <is>
          <t>/Users/rajeev/Code/karpathy-projects/reports/README.md</t>
        </is>
      </c>
      <c r="C41" s="44" t="inlineStr">
        <is>
          <t>Local report index</t>
        </is>
      </c>
      <c r="D41" s="44" t="inlineStr">
        <is>
          <t>Research-repo teardown inputs for A57 and A58.</t>
        </is>
      </c>
      <c r="E41" s="21" t="inlineStr">
        <is>
          <t>Pairs with the umbrella README.</t>
        </is>
      </c>
    </row>
    <row r="42" ht="51.26953125" customHeight="1">
      <c r="A42" s="20" t="inlineStr">
        <is>
          <t>S39</t>
        </is>
      </c>
      <c r="B42" s="44" t="inlineStr">
        <is>
          <t>/Users/rajeev/Code/pi-mono/README.md</t>
        </is>
      </c>
      <c r="C42" s="44" t="inlineStr">
        <is>
          <t>External repo mirror in local workspace</t>
        </is>
      </c>
      <c r="D42" s="44" t="inlineStr">
        <is>
          <t>Package-level AI tooling inputs for A57.</t>
        </is>
      </c>
      <c r="E42" s="21" t="inlineStr">
        <is>
          <t>Use as a curated stack ingredient, not a proof page.</t>
        </is>
      </c>
    </row>
    <row r="43" ht="51.26953125" customHeight="1">
      <c r="A43" s="20" t="inlineStr">
        <is>
          <t>S40</t>
        </is>
      </c>
      <c r="B43" s="44" t="inlineStr">
        <is>
          <t>/Users/rajeev/Code/browser-automation-tools/README.md</t>
        </is>
      </c>
      <c r="C43" s="44" t="inlineStr">
        <is>
          <t>Local benchmark workspace doc</t>
        </is>
      </c>
      <c r="D43" s="44" t="inlineStr">
        <is>
          <t>Top-level benchmark framing and best-picks summary for A39, A40, and A41.</t>
        </is>
      </c>
      <c r="E43" s="21" t="inlineStr">
        <is>
          <t>Useful top-of-page benchmark summary.</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2026-03-29T23:45:29Z</dcterms:created>
  <dcterms:modified xsi:type="dcterms:W3CDTF">2026-03-29T23:45:29Z</dcterms:modified>
</cp:coreProperties>
</file>